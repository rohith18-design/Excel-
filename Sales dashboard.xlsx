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rohith\Data Analytics\Data analysis projects\"/>
    </mc:Choice>
  </mc:AlternateContent>
  <xr:revisionPtr revIDLastSave="0" documentId="8_{2A08B485-0833-49DD-9F8C-5063A54C9B8F}" xr6:coauthVersionLast="47" xr6:coauthVersionMax="47" xr10:uidLastSave="{00000000-0000-0000-0000-000000000000}"/>
  <bookViews>
    <workbookView xWindow="-110" yWindow="-110" windowWidth="19420" windowHeight="10300" activeTab="4" xr2:uid="{4E36083D-54F4-49B5-8AB3-621B73246C79}"/>
  </bookViews>
  <sheets>
    <sheet name="cleaned" sheetId="1" r:id="rId1"/>
    <sheet name="neat" sheetId="3" r:id="rId2"/>
    <sheet name="Sheet1" sheetId="7" r:id="rId3"/>
    <sheet name="Pivot tabels" sheetId="4" r:id="rId4"/>
    <sheet name="Dashboard" sheetId="6" r:id="rId5"/>
    <sheet name="cleaned (2)" sheetId="8" r:id="rId6"/>
  </sheets>
  <definedNames>
    <definedName name="Slicer_Product">#N/A</definedName>
    <definedName name="Slicer_Profit">#N/A</definedName>
    <definedName name="Slicer_Region">#N/A</definedName>
    <definedName name="Slicer_Salespers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78" i="8" l="1" a="1"/>
  <c r="K78" i="8" s="1"/>
  <c r="H8" i="8"/>
  <c r="H3" i="8"/>
  <c r="H100" i="8"/>
  <c r="I100" i="8" s="1"/>
  <c r="H99" i="8"/>
  <c r="I99" i="8" s="1"/>
  <c r="H98" i="8"/>
  <c r="I98" i="8" s="1"/>
  <c r="H97" i="8"/>
  <c r="I97" i="8" s="1"/>
  <c r="H96" i="8"/>
  <c r="I96" i="8" s="1"/>
  <c r="H95" i="8"/>
  <c r="I95" i="8" s="1"/>
  <c r="H94" i="8"/>
  <c r="I94" i="8" s="1"/>
  <c r="H93" i="8"/>
  <c r="I93" i="8" s="1"/>
  <c r="H92" i="8"/>
  <c r="I92" i="8" s="1"/>
  <c r="H91" i="8"/>
  <c r="I91" i="8" s="1"/>
  <c r="H90" i="8"/>
  <c r="I90" i="8" s="1"/>
  <c r="H89" i="8"/>
  <c r="I89" i="8" s="1"/>
  <c r="H88" i="8"/>
  <c r="I88" i="8" s="1"/>
  <c r="H87" i="8"/>
  <c r="I87" i="8" s="1"/>
  <c r="H86" i="8"/>
  <c r="I86" i="8" s="1"/>
  <c r="H85" i="8"/>
  <c r="I85" i="8" s="1"/>
  <c r="H84" i="8"/>
  <c r="I84" i="8" s="1"/>
  <c r="H83" i="8"/>
  <c r="I83" i="8" s="1"/>
  <c r="H82" i="8"/>
  <c r="I82" i="8" s="1"/>
  <c r="H81" i="8"/>
  <c r="I81" i="8" s="1"/>
  <c r="H80" i="8"/>
  <c r="I80" i="8" s="1"/>
  <c r="H79" i="8"/>
  <c r="I79" i="8" s="1"/>
  <c r="H78" i="8"/>
  <c r="I78" i="8" s="1"/>
  <c r="H77" i="8"/>
  <c r="I77" i="8" s="1"/>
  <c r="H76" i="8"/>
  <c r="I76" i="8" s="1"/>
  <c r="H75" i="8"/>
  <c r="I75" i="8" s="1"/>
  <c r="H74" i="8"/>
  <c r="I74" i="8" s="1"/>
  <c r="H73" i="8"/>
  <c r="I73" i="8" s="1"/>
  <c r="H72" i="8"/>
  <c r="I72" i="8" s="1"/>
  <c r="H71" i="8"/>
  <c r="I71" i="8" s="1"/>
  <c r="H70" i="8"/>
  <c r="I70" i="8" s="1"/>
  <c r="H69" i="8"/>
  <c r="I69" i="8" s="1"/>
  <c r="H68" i="8"/>
  <c r="I68" i="8" s="1"/>
  <c r="H67" i="8"/>
  <c r="I67" i="8" s="1"/>
  <c r="H66" i="8"/>
  <c r="I66" i="8" s="1"/>
  <c r="H65" i="8"/>
  <c r="I65" i="8" s="1"/>
  <c r="H64" i="8"/>
  <c r="I64" i="8" s="1"/>
  <c r="H63" i="8"/>
  <c r="I63" i="8" s="1"/>
  <c r="H62" i="8"/>
  <c r="I62" i="8" s="1"/>
  <c r="H61" i="8"/>
  <c r="I61" i="8" s="1"/>
  <c r="H60" i="8"/>
  <c r="I60" i="8" s="1"/>
  <c r="H59" i="8"/>
  <c r="I59" i="8" s="1"/>
  <c r="H58" i="8"/>
  <c r="I58" i="8" s="1"/>
  <c r="H57" i="8"/>
  <c r="I57" i="8" s="1"/>
  <c r="H56" i="8"/>
  <c r="I56" i="8" s="1"/>
  <c r="H55" i="8"/>
  <c r="I55" i="8" s="1"/>
  <c r="H54" i="8"/>
  <c r="I54" i="8" s="1"/>
  <c r="H53" i="8"/>
  <c r="I53" i="8" s="1"/>
  <c r="H52" i="8"/>
  <c r="I52" i="8" s="1"/>
  <c r="H51" i="8"/>
  <c r="I51" i="8" s="1"/>
  <c r="H50" i="8"/>
  <c r="I50" i="8" s="1"/>
  <c r="H49" i="8"/>
  <c r="I49" i="8" s="1"/>
  <c r="H48" i="8"/>
  <c r="I48" i="8" s="1"/>
  <c r="H47" i="8"/>
  <c r="I47" i="8" s="1"/>
  <c r="H46" i="8"/>
  <c r="I46" i="8" s="1"/>
  <c r="H45" i="8"/>
  <c r="I45" i="8" s="1"/>
  <c r="H44" i="8"/>
  <c r="I44" i="8" s="1"/>
  <c r="H43" i="8"/>
  <c r="I43" i="8" s="1"/>
  <c r="H42" i="8"/>
  <c r="I42" i="8" s="1"/>
  <c r="H41" i="8"/>
  <c r="I41" i="8" s="1"/>
  <c r="H40" i="8"/>
  <c r="I40" i="8" s="1"/>
  <c r="H39" i="8"/>
  <c r="I39" i="8" s="1"/>
  <c r="H38" i="8"/>
  <c r="I38" i="8" s="1"/>
  <c r="H37" i="8"/>
  <c r="I37" i="8" s="1"/>
  <c r="H36" i="8"/>
  <c r="I36" i="8" s="1"/>
  <c r="H35" i="8"/>
  <c r="I35" i="8" s="1"/>
  <c r="H34" i="8"/>
  <c r="I34" i="8" s="1"/>
  <c r="H33" i="8"/>
  <c r="I33" i="8" s="1"/>
  <c r="H32" i="8"/>
  <c r="I32" i="8" s="1"/>
  <c r="H31" i="8"/>
  <c r="I31" i="8" s="1"/>
  <c r="H30" i="8"/>
  <c r="I30" i="8" s="1"/>
  <c r="H29" i="8"/>
  <c r="I29" i="8" s="1"/>
  <c r="H28" i="8"/>
  <c r="I28" i="8" s="1"/>
  <c r="H27" i="8"/>
  <c r="I27" i="8" s="1"/>
  <c r="H26" i="8"/>
  <c r="I26" i="8" s="1"/>
  <c r="P25" i="8" a="1"/>
  <c r="P25" i="8" s="1"/>
  <c r="H25" i="8"/>
  <c r="I25" i="8" s="1"/>
  <c r="H24" i="8"/>
  <c r="I24" i="8" s="1"/>
  <c r="H23" i="8"/>
  <c r="I23" i="8" s="1"/>
  <c r="H22" i="8"/>
  <c r="I22" i="8" s="1"/>
  <c r="H21" i="8"/>
  <c r="I21" i="8" s="1"/>
  <c r="H20" i="8"/>
  <c r="I20" i="8" s="1"/>
  <c r="H19" i="8"/>
  <c r="I19" i="8" s="1"/>
  <c r="H18" i="8"/>
  <c r="I18" i="8" s="1"/>
  <c r="H17" i="8"/>
  <c r="I17" i="8" s="1"/>
  <c r="H16" i="8"/>
  <c r="I16" i="8" s="1"/>
  <c r="H15" i="8"/>
  <c r="I15" i="8" s="1"/>
  <c r="H14" i="8"/>
  <c r="I14" i="8" s="1"/>
  <c r="H13" i="8"/>
  <c r="I13" i="8" s="1"/>
  <c r="H12" i="8"/>
  <c r="I12" i="8" s="1"/>
  <c r="H11" i="8"/>
  <c r="I11" i="8" s="1"/>
  <c r="H10" i="8"/>
  <c r="I10" i="8" s="1"/>
  <c r="H9" i="8"/>
  <c r="I9" i="8" s="1"/>
  <c r="I8" i="8"/>
  <c r="H7" i="8"/>
  <c r="I7" i="8" s="1"/>
  <c r="H6" i="8"/>
  <c r="I6" i="8" s="1"/>
  <c r="H5" i="8"/>
  <c r="I5" i="8" s="1"/>
  <c r="M4" i="8"/>
  <c r="H4" i="8"/>
  <c r="I4" i="8" s="1"/>
  <c r="I3" i="8"/>
  <c r="H2" i="8"/>
  <c r="M4" i="3"/>
  <c r="H100" i="3"/>
  <c r="I100" i="3" s="1"/>
  <c r="H99" i="3"/>
  <c r="I99" i="3" s="1"/>
  <c r="H98" i="3"/>
  <c r="I98" i="3" s="1"/>
  <c r="H97" i="3"/>
  <c r="I97" i="3" s="1"/>
  <c r="H96" i="3"/>
  <c r="I96" i="3" s="1"/>
  <c r="H95" i="3"/>
  <c r="I95" i="3" s="1"/>
  <c r="H94" i="3"/>
  <c r="I94" i="3" s="1"/>
  <c r="H93" i="3"/>
  <c r="I93" i="3" s="1"/>
  <c r="H92" i="3"/>
  <c r="I92" i="3" s="1"/>
  <c r="H91" i="3"/>
  <c r="I91" i="3" s="1"/>
  <c r="H90" i="3"/>
  <c r="I90" i="3" s="1"/>
  <c r="H89" i="3"/>
  <c r="I89" i="3" s="1"/>
  <c r="H88" i="3"/>
  <c r="I88" i="3" s="1"/>
  <c r="H87" i="3"/>
  <c r="I87" i="3" s="1"/>
  <c r="H86" i="3"/>
  <c r="I86" i="3" s="1"/>
  <c r="H85" i="3"/>
  <c r="I85" i="3" s="1"/>
  <c r="H84" i="3"/>
  <c r="I84" i="3" s="1"/>
  <c r="H83" i="3"/>
  <c r="I83" i="3" s="1"/>
  <c r="H82" i="3"/>
  <c r="I82" i="3" s="1"/>
  <c r="H81" i="3"/>
  <c r="I81" i="3" s="1"/>
  <c r="H80" i="3"/>
  <c r="I80" i="3" s="1"/>
  <c r="H79" i="3"/>
  <c r="I79" i="3" s="1"/>
  <c r="H78" i="3"/>
  <c r="I78" i="3" s="1"/>
  <c r="H77" i="3"/>
  <c r="I77" i="3" s="1"/>
  <c r="H76" i="3"/>
  <c r="I76" i="3" s="1"/>
  <c r="H75" i="3"/>
  <c r="I75" i="3" s="1"/>
  <c r="I74" i="3"/>
  <c r="H74" i="3"/>
  <c r="H73" i="3"/>
  <c r="I73" i="3" s="1"/>
  <c r="H72" i="3"/>
  <c r="I72" i="3" s="1"/>
  <c r="H71" i="3"/>
  <c r="I71" i="3" s="1"/>
  <c r="H70" i="3"/>
  <c r="I70" i="3" s="1"/>
  <c r="H69" i="3"/>
  <c r="I69" i="3" s="1"/>
  <c r="H68" i="3"/>
  <c r="I68" i="3" s="1"/>
  <c r="H67" i="3"/>
  <c r="I67" i="3" s="1"/>
  <c r="H66" i="3"/>
  <c r="I66" i="3" s="1"/>
  <c r="H65" i="3"/>
  <c r="I65" i="3" s="1"/>
  <c r="H64" i="3"/>
  <c r="I64" i="3" s="1"/>
  <c r="H63" i="3"/>
  <c r="I63" i="3" s="1"/>
  <c r="H62" i="3"/>
  <c r="I62" i="3" s="1"/>
  <c r="H61" i="3"/>
  <c r="I61" i="3" s="1"/>
  <c r="H60" i="3"/>
  <c r="I60" i="3" s="1"/>
  <c r="H59" i="3"/>
  <c r="I59" i="3" s="1"/>
  <c r="H58" i="3"/>
  <c r="I58" i="3" s="1"/>
  <c r="H57" i="3"/>
  <c r="I57" i="3" s="1"/>
  <c r="H56" i="3"/>
  <c r="I56" i="3" s="1"/>
  <c r="H55" i="3"/>
  <c r="I55" i="3" s="1"/>
  <c r="H54" i="3"/>
  <c r="I54" i="3" s="1"/>
  <c r="H53" i="3"/>
  <c r="I53" i="3" s="1"/>
  <c r="H52" i="3"/>
  <c r="I52" i="3" s="1"/>
  <c r="H51" i="3"/>
  <c r="I51" i="3" s="1"/>
  <c r="H50" i="3"/>
  <c r="I50" i="3" s="1"/>
  <c r="H49" i="3"/>
  <c r="I49" i="3" s="1"/>
  <c r="H48" i="3"/>
  <c r="I48" i="3" s="1"/>
  <c r="H47" i="3"/>
  <c r="I47" i="3" s="1"/>
  <c r="H46" i="3"/>
  <c r="I46" i="3" s="1"/>
  <c r="H45" i="3"/>
  <c r="I45" i="3" s="1"/>
  <c r="H44" i="3"/>
  <c r="I44" i="3" s="1"/>
  <c r="H43" i="3"/>
  <c r="I43" i="3" s="1"/>
  <c r="H42" i="3"/>
  <c r="I42" i="3" s="1"/>
  <c r="H41" i="3"/>
  <c r="I41" i="3" s="1"/>
  <c r="H40" i="3"/>
  <c r="I40" i="3" s="1"/>
  <c r="H39" i="3"/>
  <c r="I39" i="3" s="1"/>
  <c r="H38" i="3"/>
  <c r="I38" i="3" s="1"/>
  <c r="H37" i="3"/>
  <c r="I37" i="3" s="1"/>
  <c r="H36" i="3"/>
  <c r="I36" i="3" s="1"/>
  <c r="H35" i="3"/>
  <c r="I35" i="3" s="1"/>
  <c r="H34" i="3"/>
  <c r="I34" i="3" s="1"/>
  <c r="H33" i="3"/>
  <c r="I33" i="3" s="1"/>
  <c r="H32" i="3"/>
  <c r="I32" i="3" s="1"/>
  <c r="H31" i="3"/>
  <c r="I31" i="3" s="1"/>
  <c r="H30" i="3"/>
  <c r="I30" i="3" s="1"/>
  <c r="H29" i="3"/>
  <c r="I29" i="3" s="1"/>
  <c r="H28" i="3"/>
  <c r="I28" i="3" s="1"/>
  <c r="H27" i="3"/>
  <c r="I27" i="3" s="1"/>
  <c r="H26" i="3"/>
  <c r="I26" i="3" s="1"/>
  <c r="H25" i="3"/>
  <c r="I25" i="3" s="1"/>
  <c r="H24" i="3"/>
  <c r="I24" i="3" s="1"/>
  <c r="H23" i="3"/>
  <c r="I23" i="3" s="1"/>
  <c r="H22" i="3"/>
  <c r="I22" i="3" s="1"/>
  <c r="H21" i="3"/>
  <c r="I21" i="3" s="1"/>
  <c r="H20" i="3"/>
  <c r="I20" i="3" s="1"/>
  <c r="H19" i="3"/>
  <c r="I19" i="3" s="1"/>
  <c r="H18" i="3"/>
  <c r="I18" i="3" s="1"/>
  <c r="H17" i="3"/>
  <c r="I17" i="3" s="1"/>
  <c r="H16" i="3"/>
  <c r="I16" i="3" s="1"/>
  <c r="H15" i="3"/>
  <c r="I15" i="3" s="1"/>
  <c r="H14" i="3"/>
  <c r="I14" i="3" s="1"/>
  <c r="H13" i="3"/>
  <c r="I13" i="3" s="1"/>
  <c r="H12" i="3"/>
  <c r="I12" i="3" s="1"/>
  <c r="H11" i="3"/>
  <c r="I11" i="3" s="1"/>
  <c r="H10" i="3"/>
  <c r="I10" i="3" s="1"/>
  <c r="H9" i="3"/>
  <c r="I9" i="3" s="1"/>
  <c r="H8" i="3"/>
  <c r="I8" i="3" s="1"/>
  <c r="H7" i="3"/>
  <c r="I7" i="3" s="1"/>
  <c r="H6" i="3"/>
  <c r="I6" i="3" s="1"/>
  <c r="H5" i="3"/>
  <c r="I5" i="3" s="1"/>
  <c r="H4" i="3"/>
  <c r="I4" i="3" s="1"/>
  <c r="H3" i="3"/>
  <c r="I3" i="3" s="1"/>
  <c r="H2" i="3"/>
  <c r="M8" i="1"/>
  <c r="M6" i="1"/>
  <c r="M4"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3" i="1"/>
  <c r="I12" i="1"/>
  <c r="I11" i="1"/>
  <c r="I9" i="1"/>
  <c r="I8" i="1"/>
  <c r="I7" i="1"/>
  <c r="I6" i="1"/>
  <c r="I5" i="1"/>
  <c r="I4" i="1"/>
  <c r="I3" i="1"/>
  <c r="I2"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I14" i="1" s="1"/>
  <c r="H13" i="1"/>
  <c r="H12" i="1"/>
  <c r="H11" i="1"/>
  <c r="H10" i="1"/>
  <c r="I10" i="1" s="1"/>
  <c r="H9" i="1"/>
  <c r="H8" i="1"/>
  <c r="H7" i="1"/>
  <c r="H6" i="1"/>
  <c r="H5" i="1"/>
  <c r="H4" i="1"/>
  <c r="H3" i="1"/>
  <c r="H2" i="1"/>
  <c r="P25" i="1" a="1"/>
  <c r="P25" i="1" s="1"/>
  <c r="M2" i="8" l="1"/>
  <c r="I2" i="8"/>
  <c r="M6" i="8" s="1"/>
  <c r="M8" i="8"/>
  <c r="M8" i="3"/>
  <c r="I2" i="3"/>
  <c r="M6" i="3" s="1"/>
  <c r="M2" i="3"/>
  <c r="M2" i="1"/>
  <c r="I4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<sst xmlns="http://schemas.openxmlformats.org/spreadsheetml/2006/main" count="983" uniqueCount="52">
  <si>
    <t>Date</t>
  </si>
  <si>
    <t>Region</t>
  </si>
  <si>
    <t>Product</t>
  </si>
  <si>
    <t>UnitPrice</t>
  </si>
  <si>
    <t>Salesperson</t>
  </si>
  <si>
    <t>East</t>
  </si>
  <si>
    <t>Laptop</t>
  </si>
  <si>
    <t>Eva</t>
  </si>
  <si>
    <t>South</t>
  </si>
  <si>
    <t>Phone</t>
  </si>
  <si>
    <t>Alice</t>
  </si>
  <si>
    <t>North</t>
  </si>
  <si>
    <t>Desk</t>
  </si>
  <si>
    <t>Central</t>
  </si>
  <si>
    <t>Chair</t>
  </si>
  <si>
    <t>Frank</t>
  </si>
  <si>
    <t>Carlos</t>
  </si>
  <si>
    <t>Monitor</t>
  </si>
  <si>
    <t>Diana</t>
  </si>
  <si>
    <t>Bob</t>
  </si>
  <si>
    <t>West</t>
  </si>
  <si>
    <t>Tablet</t>
  </si>
  <si>
    <t>Printer</t>
  </si>
  <si>
    <t>grand total</t>
  </si>
  <si>
    <t>total profit</t>
  </si>
  <si>
    <t>average sales</t>
  </si>
  <si>
    <t>unit sold</t>
  </si>
  <si>
    <t>Profit</t>
  </si>
  <si>
    <t xml:space="preserve">Units sold </t>
  </si>
  <si>
    <t>Cost of goods</t>
  </si>
  <si>
    <t>Total Sales</t>
  </si>
  <si>
    <t>Row Labels</t>
  </si>
  <si>
    <t>Grand Total</t>
  </si>
  <si>
    <t>Sum of Total Sales</t>
  </si>
  <si>
    <t xml:space="preserve">Sum of Units sold </t>
  </si>
  <si>
    <t>ji</t>
  </si>
  <si>
    <t>Chennai</t>
  </si>
  <si>
    <t>Mumbai</t>
  </si>
  <si>
    <t>Delhi</t>
  </si>
  <si>
    <t>Bangalore</t>
  </si>
  <si>
    <t>Hyderabad</t>
  </si>
  <si>
    <t>Kolkata</t>
  </si>
  <si>
    <t>Pune</t>
  </si>
  <si>
    <t>Jaipur</t>
  </si>
  <si>
    <t>Ahmedabad</t>
  </si>
  <si>
    <t>Kochi</t>
  </si>
  <si>
    <t>Coimbatore</t>
  </si>
  <si>
    <t>Madurai</t>
  </si>
  <si>
    <t>Lucknow</t>
  </si>
  <si>
    <t>Bhopal</t>
  </si>
  <si>
    <t>Surat</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</si>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</sst>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quot;₹&quot;\ #,##0.00"/>
    <numFmt numFmtId="165" formatCode="&quot;₹&quot;\ #,##0"/>
    <numFmt numFmtId="166" formatCode="&quot;₹&quot;\ ##\.##,&quot;L&quot;"/>
  </numFmts>
  <fonts count="4" x14ac:knownFonts="1">
    <font>
      <sz val="11"/>
      <color theme="1"/>
      <name val="Tw Cen MT"/>
      <family val="2"/>
      <scheme val="minor"/>
    </font>
    <font>
      <b/>
      <sz val="11"/>
      <color theme="1"/>
      <name val="Tw Cen MT"/>
      <family val="2"/>
      <scheme val="minor"/>
    </font>
    <font>
      <sz val="11"/>
      <color theme="1"/>
      <name val="Tw Cen MT"/>
      <family val="2"/>
      <scheme val="minor"/>
    </font>
    <font>
      <b/>
      <sz val="11"/>
      <name val="Tw Cen MT"/>
      <family val="2"/>
      <scheme val="minor"/>
    </font>
  </fonts>
  <fills count="8">
    <fill>
      <patternFill patternType="none"/>
    </fill>
    <fill>
      <patternFill patternType="gray125"/>
    </fill>
    <fill>
      <patternFill patternType="solid">
        <fgColor theme="3" tint="0.79998168889431442"/>
        <bgColor indexed="64"/>
      </patternFill>
    </fill>
    <fill>
      <patternFill patternType="solid">
        <fgColor theme="4" tint="0.59999389629810485"/>
        <bgColor indexed="64"/>
      </patternFill>
    </fill>
    <fill>
      <patternFill patternType="solid">
        <fgColor theme="0"/>
        <bgColor indexed="64"/>
      </patternFill>
    </fill>
    <fill>
      <patternFill patternType="solid">
        <fgColor rgb="FF76B531"/>
        <bgColor indexed="64"/>
      </patternFill>
    </fill>
    <fill>
      <patternFill patternType="solid">
        <fgColor rgb="FFF5F7F9"/>
        <bgColor indexed="64"/>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indexed="64"/>
      </bottom>
      <diagonal/>
    </border>
  </borders>
  <cellStyleXfs count="2">
    <xf numFmtId="0" fontId="0" fillId="0" borderId="0"/>
    <xf numFmtId="44" fontId="2" fillId="0" borderId="0" applyFont="0" applyFill="0" applyBorder="0" applyAlignment="0" applyProtection="0"/>
  </cellStyleXfs>
  <cellXfs count="21">
    <xf numFmtId="0" fontId="0" fillId="0" borderId="0" xfId="0"/>
    <xf numFmtId="14" fontId="0" fillId="0" borderId="0" xfId="0" applyNumberFormat="1"/>
    <xf numFmtId="164" fontId="0" fillId="0" borderId="0" xfId="0" applyNumberFormat="1"/>
    <xf numFmtId="0" fontId="1" fillId="2" borderId="0" xfId="0" applyFont="1" applyFill="1" applyAlignment="1">
      <alignment horizontal="center" vertical="top"/>
    </xf>
    <xf numFmtId="165" fontId="0" fillId="0" borderId="0" xfId="0" applyNumberFormat="1"/>
    <xf numFmtId="164" fontId="0" fillId="0" borderId="0" xfId="1" applyNumberFormat="1" applyFont="1"/>
    <xf numFmtId="0" fontId="1" fillId="3" borderId="0" xfId="0" applyFont="1" applyFill="1"/>
    <xf numFmtId="14" fontId="3" fillId="4" borderId="1" xfId="0" applyNumberFormat="1" applyFont="1" applyFill="1" applyBorder="1" applyAlignment="1">
      <alignment horizontal="center" vertical="top"/>
    </xf>
    <xf numFmtId="0" fontId="3" fillId="4" borderId="1" xfId="0" applyFont="1" applyFill="1" applyBorder="1" applyAlignment="1">
      <alignment horizontal="center" vertical="top"/>
    </xf>
    <xf numFmtId="0" fontId="3" fillId="4" borderId="2" xfId="0" applyFont="1" applyFill="1" applyBorder="1" applyAlignment="1">
      <alignment horizontal="center" vertical="top"/>
    </xf>
    <xf numFmtId="0" fontId="3" fillId="2" borderId="1" xfId="0" applyFont="1" applyFill="1" applyBorder="1" applyAlignment="1">
      <alignment horizontal="center" vertical="top"/>
    </xf>
    <xf numFmtId="0" fontId="3" fillId="2" borderId="2" xfId="0" applyFont="1" applyFill="1" applyBorder="1" applyAlignment="1">
      <alignment horizontal="center" vertical="top"/>
    </xf>
    <xf numFmtId="14" fontId="3" fillId="2" borderId="1" xfId="0" applyNumberFormat="1" applyFont="1" applyFill="1" applyBorder="1" applyAlignment="1">
      <alignment horizontal="center" vertical="top"/>
    </xf>
    <xf numFmtId="0" fontId="0" fillId="0" borderId="0" xfId="0" pivotButton="1"/>
    <xf numFmtId="0" fontId="0" fillId="0" borderId="0" xfId="0" applyAlignment="1">
      <alignment horizontal="left"/>
    </xf>
    <xf numFmtId="166" fontId="0" fillId="0" borderId="0" xfId="0" applyNumberFormat="1"/>
    <xf numFmtId="0" fontId="0" fillId="5" borderId="0" xfId="0" applyFill="1"/>
    <xf numFmtId="0" fontId="0" fillId="4" borderId="0" xfId="0" applyFill="1"/>
    <xf numFmtId="0" fontId="0" fillId="6" borderId="0" xfId="0" applyFill="1"/>
    <xf numFmtId="0" fontId="0" fillId="7" borderId="0" xfId="0" applyFill="1"/>
    <xf numFmtId="0" fontId="0" fillId="0" borderId="0" xfId="0" applyNumberFormat="1"/>
  </cellXfs>
  <cellStyles count="2">
    <cellStyle name="Currency" xfId="1" builtinId="4"/>
    <cellStyle name="Normal" xfId="0" builtinId="0"/>
  </cellStyles>
  <dxfs count="35">
    <dxf>
      <font>
        <color rgb="FF9C0006"/>
      </font>
      <fill>
        <patternFill>
          <bgColor rgb="FFFFC7CE"/>
        </patternFill>
      </fill>
    </dxf>
    <dxf>
      <font>
        <color rgb="FF9C5700"/>
      </font>
      <fill>
        <patternFill>
          <bgColor rgb="FFFFEB9C"/>
        </patternFill>
      </fill>
    </dxf>
    <dxf>
      <numFmt numFmtId="164" formatCode="&quot;₹&quot;\ #,##0.00"/>
    </dxf>
    <dxf>
      <numFmt numFmtId="164" formatCode="&quot;₹&quot;\ #,##0.00"/>
    </dxf>
    <dxf>
      <numFmt numFmtId="164" formatCode="&quot;₹&quot;\ #,##0.00"/>
    </dxf>
    <dxf>
      <numFmt numFmtId="165" formatCode="&quot;₹&quot;\ #,##0"/>
    </dxf>
    <dxf>
      <border outline="0">
        <bottom style="thin">
          <color auto="1"/>
        </bottom>
      </border>
    </dxf>
    <dxf>
      <font>
        <b/>
        <i val="0"/>
        <strike val="0"/>
        <condense val="0"/>
        <extend val="0"/>
        <outline val="0"/>
        <shadow val="0"/>
        <u val="none"/>
        <vertAlign val="baseline"/>
        <sz val="11"/>
        <color auto="1"/>
        <name val="Tw Cen MT"/>
        <family val="2"/>
        <scheme val="minor"/>
      </font>
      <fill>
        <patternFill patternType="solid">
          <fgColor indexed="64"/>
          <bgColor theme="3" tint="0.79998168889431442"/>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19" formatCode="dd/mm/yyyy"/>
    </dxf>
    <dxf>
      <border outline="0">
        <top style="thin">
          <color auto="1"/>
        </top>
      </border>
    </dxf>
    <dxf>
      <numFmt numFmtId="19" formatCode="dd/mm/yyyy"/>
    </dxf>
    <dxf>
      <border>
        <bottom style="thin">
          <color indexed="64"/>
        </bottom>
      </border>
    </dxf>
    <dxf>
      <font>
        <b/>
        <i val="0"/>
        <strike val="0"/>
        <condense val="0"/>
        <extend val="0"/>
        <outline val="0"/>
        <shadow val="0"/>
        <u val="none"/>
        <vertAlign val="baseline"/>
        <sz val="11"/>
        <color auto="1"/>
        <name val="Tw Cen MT"/>
        <family val="2"/>
        <scheme val="minor"/>
      </font>
      <numFmt numFmtId="19" formatCode="dd/mm/yyyy"/>
      <fill>
        <patternFill patternType="solid">
          <fgColor indexed="64"/>
          <bgColor theme="3" tint="0.79998168889431442"/>
        </patternFill>
      </fill>
      <alignment horizontal="center" vertical="top" textRotation="0" wrapText="0" indent="0" justifyLastLine="0" shrinkToFit="0" readingOrder="0"/>
      <border diagonalUp="0" diagonalDown="0" outline="0">
        <left style="thin">
          <color indexed="64"/>
        </left>
        <right style="thin">
          <color indexed="64"/>
        </right>
        <top/>
        <bottom/>
      </border>
    </dxf>
    <dxf>
      <numFmt numFmtId="164" formatCode="&quot;₹&quot;\ #,##0.00"/>
    </dxf>
    <dxf>
      <numFmt numFmtId="164" formatCode="&quot;₹&quot;\ #,##0.00"/>
    </dxf>
    <dxf>
      <numFmt numFmtId="164" formatCode="&quot;₹&quot;\ #,##0.00"/>
    </dxf>
    <dxf>
      <numFmt numFmtId="165" formatCode="&quot;₹&quot;\ #,##0"/>
    </dxf>
    <dxf>
      <border outline="0">
        <bottom style="thin">
          <color auto="1"/>
        </bottom>
      </border>
    </dxf>
    <dxf>
      <font>
        <b/>
        <i val="0"/>
        <strike val="0"/>
        <condense val="0"/>
        <extend val="0"/>
        <outline val="0"/>
        <shadow val="0"/>
        <u val="none"/>
        <vertAlign val="baseline"/>
        <sz val="11"/>
        <color auto="1"/>
        <name val="Tw Cen MT"/>
        <family val="2"/>
        <scheme val="minor"/>
      </font>
      <fill>
        <patternFill patternType="solid">
          <fgColor indexed="64"/>
          <bgColor theme="0"/>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19" formatCode="dd/mm/yyyy"/>
    </dxf>
    <dxf>
      <border outline="0">
        <top style="thin">
          <color auto="1"/>
        </top>
      </border>
    </dxf>
    <dxf>
      <numFmt numFmtId="19" formatCode="dd/mm/yyyy"/>
    </dxf>
    <dxf>
      <border>
        <bottom style="thin">
          <color indexed="64"/>
        </bottom>
      </border>
    </dxf>
    <dxf>
      <font>
        <b/>
        <i val="0"/>
        <strike val="0"/>
        <condense val="0"/>
        <extend val="0"/>
        <outline val="0"/>
        <shadow val="0"/>
        <u val="none"/>
        <vertAlign val="baseline"/>
        <sz val="11"/>
        <color auto="1"/>
        <name val="Tw Cen MT"/>
        <family val="2"/>
        <scheme val="minor"/>
      </font>
      <numFmt numFmtId="19" formatCode="dd/mm/yyyy"/>
      <fill>
        <patternFill patternType="solid">
          <fgColor indexed="64"/>
          <bgColor theme="0"/>
        </patternFill>
      </fill>
      <alignment horizontal="center" vertical="top" textRotation="0" wrapText="0" indent="0" justifyLastLine="0" shrinkToFit="0" readingOrder="0"/>
      <border diagonalUp="0" diagonalDown="0" outline="0">
        <left style="thin">
          <color indexed="64"/>
        </left>
        <right style="thin">
          <color indexed="64"/>
        </right>
        <top/>
        <bottom/>
      </border>
    </dxf>
    <dxf>
      <numFmt numFmtId="164" formatCode="&quot;₹&quot;\ #,##0.00"/>
    </dxf>
    <dxf>
      <numFmt numFmtId="164" formatCode="&quot;₹&quot;\ #,##0.00"/>
    </dxf>
    <dxf>
      <numFmt numFmtId="164" formatCode="&quot;₹&quot;\ #,##0.00"/>
    </dxf>
    <dxf>
      <numFmt numFmtId="165" formatCode="&quot;₹&quot;\ #,##0"/>
    </dxf>
    <dxf>
      <border outline="0">
        <bottom style="thin">
          <color auto="1"/>
        </bottom>
      </border>
    </dxf>
    <dxf>
      <font>
        <b/>
        <i val="0"/>
        <strike val="0"/>
        <condense val="0"/>
        <extend val="0"/>
        <outline val="0"/>
        <shadow val="0"/>
        <u val="none"/>
        <vertAlign val="baseline"/>
        <sz val="11"/>
        <color auto="1"/>
        <name val="Tw Cen MT"/>
        <family val="2"/>
        <scheme val="minor"/>
      </font>
      <fill>
        <patternFill patternType="solid">
          <fgColor indexed="64"/>
          <bgColor theme="0"/>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19" formatCode="dd/mm/yyyy"/>
    </dxf>
    <dxf>
      <border outline="0">
        <top style="thin">
          <color auto="1"/>
        </top>
      </border>
    </dxf>
    <dxf>
      <numFmt numFmtId="19" formatCode="dd/mm/yyyy"/>
    </dxf>
    <dxf>
      <border>
        <bottom style="thin">
          <color rgb="FF000000"/>
        </bottom>
      </border>
    </dxf>
    <dxf>
      <font>
        <b/>
        <i val="0"/>
        <strike val="0"/>
        <condense val="0"/>
        <extend val="0"/>
        <outline val="0"/>
        <shadow val="0"/>
        <u val="none"/>
        <vertAlign val="baseline"/>
        <sz val="11"/>
        <color auto="1"/>
        <name val="Tw Cen MT"/>
        <family val="2"/>
        <scheme val="minor"/>
      </font>
      <numFmt numFmtId="19" formatCode="dd/mm/yyyy"/>
      <fill>
        <patternFill patternType="solid">
          <fgColor indexed="64"/>
          <bgColor theme="0"/>
        </patternFill>
      </fill>
      <alignment horizontal="center" vertical="top"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76B531"/>
      <color rgb="FFF5F7F9"/>
      <color rgb="FF4DB6AC"/>
      <color rgb="FF000000"/>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dashboard.xlsx]Pivot tabels!PivotTable2</c:name>
    <c:fmtId val="0"/>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6B53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tint val="86000"/>
            </a:schemeClr>
          </a:solidFill>
          <a:ln w="19050">
            <a:solidFill>
              <a:schemeClr val="lt1"/>
            </a:solidFill>
          </a:ln>
          <a:effectLst/>
        </c:spPr>
        <c:dLbl>
          <c:idx val="0"/>
          <c:layout>
            <c:manualLayout>
              <c:x val="-0.16388888888888892"/>
              <c:y val="9.722222222222205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6B53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tint val="30000"/>
            </a:schemeClr>
          </a:solidFill>
          <a:ln w="19050">
            <a:solidFill>
              <a:schemeClr val="lt1"/>
            </a:solidFill>
          </a:ln>
          <a:effectLst/>
        </c:spPr>
      </c:pivotFmt>
      <c:pivotFmt>
        <c:idx val="3"/>
        <c:spPr>
          <a:solidFill>
            <a:schemeClr val="accent6">
              <a:shade val="58000"/>
            </a:schemeClr>
          </a:solidFill>
          <a:ln w="19050">
            <a:solidFill>
              <a:schemeClr val="lt1"/>
            </a:solidFill>
          </a:ln>
          <a:effectLst/>
        </c:spPr>
        <c:dLbl>
          <c:idx val="0"/>
          <c:layout>
            <c:manualLayout>
              <c:x val="0.16111111111111112"/>
              <c:y val="-0.134259259259259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6B53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hade val="86000"/>
            </a:schemeClr>
          </a:solidFill>
          <a:ln w="19050">
            <a:solidFill>
              <a:schemeClr val="lt1"/>
            </a:solidFill>
          </a:ln>
          <a:effectLst/>
        </c:spPr>
        <c:dLbl>
          <c:idx val="0"/>
          <c:layout>
            <c:manualLayout>
              <c:x val="0.18055555555555555"/>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6B53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tint val="30000"/>
            </a:schemeClr>
          </a:solidFill>
          <a:ln w="19050">
            <a:solidFill>
              <a:schemeClr val="lt1"/>
            </a:solidFill>
          </a:ln>
          <a:effectLst/>
        </c:spPr>
      </c:pivotFmt>
    </c:pivotFmts>
    <c:plotArea>
      <c:layout/>
      <c:doughnutChart>
        <c:varyColors val="1"/>
        <c:ser>
          <c:idx val="0"/>
          <c:order val="0"/>
          <c:tx>
            <c:strRef>
              <c:f>'Pivot tabels'!$B$3</c:f>
              <c:strCache>
                <c:ptCount val="1"/>
                <c:pt idx="0">
                  <c:v>Total</c:v>
                </c:pt>
              </c:strCache>
            </c:strRef>
          </c:tx>
          <c:dPt>
            <c:idx val="0"/>
            <c:bubble3D val="0"/>
            <c:spPr>
              <a:solidFill>
                <a:schemeClr val="accent6">
                  <a:tint val="30000"/>
                </a:schemeClr>
              </a:solidFill>
              <a:ln w="19050">
                <a:solidFill>
                  <a:schemeClr val="lt1"/>
                </a:solidFill>
              </a:ln>
              <a:effectLst/>
            </c:spPr>
            <c:extLst>
              <c:ext xmlns:c16="http://schemas.microsoft.com/office/drawing/2014/chart" uri="{C3380CC4-5D6E-409C-BE32-E72D297353CC}">
                <c16:uniqueId val="{00000004-DB0C-4EC8-B2D3-B6CC5F83691A}"/>
              </c:ext>
            </c:extLst>
          </c:dPt>
          <c:dPt>
            <c:idx val="1"/>
            <c:bubble3D val="0"/>
            <c:spPr>
              <a:solidFill>
                <a:schemeClr val="accent6">
                  <a:tint val="30000"/>
                </a:schemeClr>
              </a:solidFill>
              <a:ln w="19050">
                <a:solidFill>
                  <a:schemeClr val="lt1"/>
                </a:solidFill>
              </a:ln>
              <a:effectLst/>
            </c:spPr>
            <c:extLst>
              <c:ext xmlns:c16="http://schemas.microsoft.com/office/drawing/2014/chart" uri="{C3380CC4-5D6E-409C-BE32-E72D297353CC}">
                <c16:uniqueId val="{00000003-DB0C-4EC8-B2D3-B6CC5F83691A}"/>
              </c:ext>
            </c:extLst>
          </c:dPt>
          <c:dPt>
            <c:idx val="2"/>
            <c:bubble3D val="0"/>
            <c:spPr>
              <a:solidFill>
                <a:schemeClr val="accent6">
                  <a:tint val="60000"/>
                </a:schemeClr>
              </a:solidFill>
              <a:ln w="19050">
                <a:solidFill>
                  <a:schemeClr val="lt1"/>
                </a:solidFill>
              </a:ln>
              <a:effectLst/>
            </c:spPr>
            <c:extLst>
              <c:ext xmlns:c16="http://schemas.microsoft.com/office/drawing/2014/chart" uri="{C3380CC4-5D6E-409C-BE32-E72D297353CC}">
                <c16:uniqueId val="{00000006-DB0C-4EC8-B2D3-B6CC5F83691A}"/>
              </c:ext>
            </c:extLst>
          </c:dPt>
          <c:dPt>
            <c:idx val="3"/>
            <c:bubble3D val="0"/>
            <c:spPr>
              <a:solidFill>
                <a:schemeClr val="accent6">
                  <a:tint val="90000"/>
                </a:schemeClr>
              </a:solidFill>
              <a:ln w="19050">
                <a:solidFill>
                  <a:schemeClr val="lt1"/>
                </a:solidFill>
              </a:ln>
              <a:effectLst/>
            </c:spPr>
            <c:extLst>
              <c:ext xmlns:c16="http://schemas.microsoft.com/office/drawing/2014/chart" uri="{C3380CC4-5D6E-409C-BE32-E72D297353CC}">
                <c16:uniqueId val="{00000005-DB0C-4EC8-B2D3-B6CC5F83691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6B53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tabels'!$A$4:$A$5</c:f>
              <c:strCache>
                <c:ptCount val="1"/>
                <c:pt idx="0">
                  <c:v>West</c:v>
                </c:pt>
              </c:strCache>
            </c:strRef>
          </c:cat>
          <c:val>
            <c:numRef>
              <c:f>'Pivot tabels'!$B$4:$B$5</c:f>
              <c:numCache>
                <c:formatCode>"₹"\ ##\.##,"L"</c:formatCode>
                <c:ptCount val="1"/>
                <c:pt idx="0">
                  <c:v>9526400</c:v>
                </c:pt>
              </c:numCache>
            </c:numRef>
          </c:val>
          <c:extLst>
            <c:ext xmlns:c16="http://schemas.microsoft.com/office/drawing/2014/chart" uri="{C3380CC4-5D6E-409C-BE32-E72D297353CC}">
              <c16:uniqueId val="{00000000-DB0C-4EC8-B2D3-B6CC5F83691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tabels!PivotTable3</c:name>
    <c:fmtId val="0"/>
  </c:pivotSource>
  <c:chart>
    <c:autoTitleDeleted val="1"/>
    <c:pivotFmts>
      <c:pivotFmt>
        <c:idx val="0"/>
        <c:spPr>
          <a:solidFill>
            <a:srgbClr val="76B531"/>
          </a:solidFill>
          <a:ln>
            <a:solidFill>
              <a:schemeClr val="bg1"/>
            </a:solid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900" b="1" i="0" u="none" strike="noStrike" kern="1200" baseline="0">
                  <a:solidFill>
                    <a:srgbClr val="76B53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6B531"/>
          </a:solidFill>
          <a:ln>
            <a:solidFill>
              <a:schemeClr val="bg1"/>
            </a:solidFill>
          </a:ln>
          <a:effectLst/>
        </c:spPr>
      </c:pivotFmt>
      <c:pivotFmt>
        <c:idx val="2"/>
        <c:spPr>
          <a:solidFill>
            <a:srgbClr val="76B531"/>
          </a:solidFill>
          <a:ln>
            <a:solidFill>
              <a:schemeClr val="bg1"/>
            </a:solidFill>
          </a:ln>
          <a:effectLst/>
        </c:spPr>
      </c:pivotFmt>
      <c:pivotFmt>
        <c:idx val="3"/>
        <c:spPr>
          <a:solidFill>
            <a:srgbClr val="76B531"/>
          </a:solidFill>
          <a:ln>
            <a:solidFill>
              <a:schemeClr val="bg1"/>
            </a:solidFill>
          </a:ln>
          <a:effectLst/>
        </c:spPr>
      </c:pivotFmt>
      <c:pivotFmt>
        <c:idx val="4"/>
        <c:spPr>
          <a:solidFill>
            <a:srgbClr val="76B531"/>
          </a:solidFill>
          <a:ln>
            <a:solidFill>
              <a:schemeClr val="bg1"/>
            </a:solidFill>
          </a:ln>
          <a:effectLst/>
        </c:spPr>
      </c:pivotFmt>
    </c:pivotFmts>
    <c:plotArea>
      <c:layout/>
      <c:barChart>
        <c:barDir val="bar"/>
        <c:grouping val="clustered"/>
        <c:varyColors val="0"/>
        <c:ser>
          <c:idx val="0"/>
          <c:order val="0"/>
          <c:tx>
            <c:strRef>
              <c:f>'Pivot tabels'!$E$3</c:f>
              <c:strCache>
                <c:ptCount val="1"/>
                <c:pt idx="0">
                  <c:v>Total</c:v>
                </c:pt>
              </c:strCache>
            </c:strRef>
          </c:tx>
          <c:spPr>
            <a:solidFill>
              <a:srgbClr val="76B531"/>
            </a:solidFill>
            <a:ln>
              <a:solidFill>
                <a:schemeClr val="bg1"/>
              </a:solidFill>
            </a:ln>
            <a:effectLst/>
          </c:spPr>
          <c:invertIfNegative val="0"/>
          <c:dPt>
            <c:idx val="3"/>
            <c:invertIfNegative val="0"/>
            <c:bubble3D val="0"/>
            <c:extLst>
              <c:ext xmlns:c16="http://schemas.microsoft.com/office/drawing/2014/chart" uri="{C3380CC4-5D6E-409C-BE32-E72D297353CC}">
                <c16:uniqueId val="{00000000-3861-4613-831B-566FC996187C}"/>
              </c:ext>
            </c:extLst>
          </c:dPt>
          <c:dPt>
            <c:idx val="4"/>
            <c:invertIfNegative val="0"/>
            <c:bubble3D val="0"/>
          </c:dPt>
          <c:dPt>
            <c:idx val="5"/>
            <c:invertIfNegative val="0"/>
            <c:bubble3D val="0"/>
          </c:dPt>
          <c:dPt>
            <c:idx val="6"/>
            <c:invertIfNegative val="0"/>
            <c:bubble3D val="0"/>
          </c:dPt>
          <c:dLbls>
            <c:spPr>
              <a:solidFill>
                <a:schemeClr val="bg1"/>
              </a:solidFill>
              <a:ln>
                <a:noFill/>
              </a:ln>
              <a:effectLst/>
            </c:spPr>
            <c:txPr>
              <a:bodyPr rot="0" spcFirstLastPara="1" vertOverflow="ellipsis" vert="horz" wrap="square" anchor="ctr" anchorCtr="1"/>
              <a:lstStyle/>
              <a:p>
                <a:pPr>
                  <a:defRPr sz="900" b="1" i="0" u="none" strike="noStrike" kern="1200" baseline="0">
                    <a:solidFill>
                      <a:srgbClr val="76B53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tabels'!$D$4:$D$11</c:f>
              <c:strCache>
                <c:ptCount val="7"/>
                <c:pt idx="0">
                  <c:v>Laptop</c:v>
                </c:pt>
                <c:pt idx="1">
                  <c:v>Tablet</c:v>
                </c:pt>
                <c:pt idx="2">
                  <c:v>Chair</c:v>
                </c:pt>
                <c:pt idx="3">
                  <c:v>Desk</c:v>
                </c:pt>
                <c:pt idx="4">
                  <c:v>Monitor</c:v>
                </c:pt>
                <c:pt idx="5">
                  <c:v>Phone</c:v>
                </c:pt>
                <c:pt idx="6">
                  <c:v>Printer</c:v>
                </c:pt>
              </c:strCache>
            </c:strRef>
          </c:cat>
          <c:val>
            <c:numRef>
              <c:f>'Pivot tabels'!$E$4:$E$11</c:f>
              <c:numCache>
                <c:formatCode>"₹"\ ##\.##,"L"</c:formatCode>
                <c:ptCount val="7"/>
                <c:pt idx="0">
                  <c:v>6280800</c:v>
                </c:pt>
                <c:pt idx="1">
                  <c:v>1290400</c:v>
                </c:pt>
                <c:pt idx="2">
                  <c:v>49800</c:v>
                </c:pt>
                <c:pt idx="3">
                  <c:v>134300</c:v>
                </c:pt>
                <c:pt idx="4">
                  <c:v>645900</c:v>
                </c:pt>
                <c:pt idx="5">
                  <c:v>341100</c:v>
                </c:pt>
                <c:pt idx="6">
                  <c:v>784100</c:v>
                </c:pt>
              </c:numCache>
            </c:numRef>
          </c:val>
          <c:extLst>
            <c:ext xmlns:c16="http://schemas.microsoft.com/office/drawing/2014/chart" uri="{C3380CC4-5D6E-409C-BE32-E72D297353CC}">
              <c16:uniqueId val="{00000000-8575-4A5C-96B9-D1A05AE0A5F7}"/>
            </c:ext>
          </c:extLst>
        </c:ser>
        <c:dLbls>
          <c:showLegendKey val="0"/>
          <c:showVal val="0"/>
          <c:showCatName val="0"/>
          <c:showSerName val="0"/>
          <c:showPercent val="0"/>
          <c:showBubbleSize val="0"/>
        </c:dLbls>
        <c:gapWidth val="43"/>
        <c:axId val="1784201711"/>
        <c:axId val="1784202191"/>
      </c:barChart>
      <c:catAx>
        <c:axId val="1784201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76B531"/>
                </a:solidFill>
                <a:latin typeface="+mn-lt"/>
                <a:ea typeface="+mn-ea"/>
                <a:cs typeface="+mn-cs"/>
              </a:defRPr>
            </a:pPr>
            <a:endParaRPr lang="en-US"/>
          </a:p>
        </c:txPr>
        <c:crossAx val="1784202191"/>
        <c:crosses val="autoZero"/>
        <c:auto val="1"/>
        <c:lblAlgn val="ctr"/>
        <c:lblOffset val="100"/>
        <c:noMultiLvlLbl val="0"/>
      </c:catAx>
      <c:valAx>
        <c:axId val="1784202191"/>
        <c:scaling>
          <c:orientation val="minMax"/>
        </c:scaling>
        <c:delete val="1"/>
        <c:axPos val="b"/>
        <c:numFmt formatCode="&quot;₹&quot;\ ##\.##,&quot;L&quot;" sourceLinked="1"/>
        <c:majorTickMark val="none"/>
        <c:minorTickMark val="none"/>
        <c:tickLblPos val="nextTo"/>
        <c:crossAx val="1784201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dashboard.xlsx]Pivot tabels!PivotTable4</c:name>
    <c:fmtId val="0"/>
  </c:pivotSource>
  <c:chart>
    <c:autoTitleDeleted val="1"/>
    <c:pivotFmts>
      <c:pivotFmt>
        <c:idx val="0"/>
        <c:spPr>
          <a:solidFill>
            <a:srgbClr val="76B5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208618051109195E-2"/>
          <c:y val="2.0480953394339221E-2"/>
          <c:w val="0.92634375847712425"/>
          <c:h val="0.85528045868511848"/>
        </c:manualLayout>
      </c:layout>
      <c:barChart>
        <c:barDir val="col"/>
        <c:grouping val="clustered"/>
        <c:varyColors val="0"/>
        <c:ser>
          <c:idx val="0"/>
          <c:order val="0"/>
          <c:tx>
            <c:strRef>
              <c:f>'Pivot tabels'!$H$3</c:f>
              <c:strCache>
                <c:ptCount val="1"/>
                <c:pt idx="0">
                  <c:v>Total</c:v>
                </c:pt>
              </c:strCache>
            </c:strRef>
          </c:tx>
          <c:spPr>
            <a:solidFill>
              <a:srgbClr val="76B5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tabels'!$G$4:$G$10</c:f>
              <c:strCache>
                <c:ptCount val="6"/>
                <c:pt idx="0">
                  <c:v>Alice</c:v>
                </c:pt>
                <c:pt idx="1">
                  <c:v>Bob</c:v>
                </c:pt>
                <c:pt idx="2">
                  <c:v>Carlos</c:v>
                </c:pt>
                <c:pt idx="3">
                  <c:v>Diana</c:v>
                </c:pt>
                <c:pt idx="4">
                  <c:v>Eva</c:v>
                </c:pt>
                <c:pt idx="5">
                  <c:v>Frank</c:v>
                </c:pt>
              </c:strCache>
            </c:strRef>
          </c:cat>
          <c:val>
            <c:numRef>
              <c:f>'Pivot tabels'!$H$4:$H$10</c:f>
              <c:numCache>
                <c:formatCode>"₹"\ ##\.##,"L"</c:formatCode>
                <c:ptCount val="6"/>
                <c:pt idx="0">
                  <c:v>1943400</c:v>
                </c:pt>
                <c:pt idx="1">
                  <c:v>2460600</c:v>
                </c:pt>
                <c:pt idx="2">
                  <c:v>62400</c:v>
                </c:pt>
                <c:pt idx="3">
                  <c:v>1563300</c:v>
                </c:pt>
                <c:pt idx="4">
                  <c:v>1590300</c:v>
                </c:pt>
                <c:pt idx="5">
                  <c:v>1906400</c:v>
                </c:pt>
              </c:numCache>
            </c:numRef>
          </c:val>
          <c:extLst>
            <c:ext xmlns:c16="http://schemas.microsoft.com/office/drawing/2014/chart" uri="{C3380CC4-5D6E-409C-BE32-E72D297353CC}">
              <c16:uniqueId val="{00000000-A0E0-4175-B86F-ABF0EE6AC8D9}"/>
            </c:ext>
          </c:extLst>
        </c:ser>
        <c:dLbls>
          <c:showLegendKey val="0"/>
          <c:showVal val="0"/>
          <c:showCatName val="0"/>
          <c:showSerName val="0"/>
          <c:showPercent val="0"/>
          <c:showBubbleSize val="0"/>
        </c:dLbls>
        <c:gapWidth val="99"/>
        <c:overlap val="-25"/>
        <c:axId val="1784218031"/>
        <c:axId val="1784209871"/>
      </c:barChart>
      <c:catAx>
        <c:axId val="1784218031"/>
        <c:scaling>
          <c:orientation val="minMax"/>
        </c:scaling>
        <c:delete val="0"/>
        <c:axPos val="b"/>
        <c:numFmt formatCode="General" sourceLinked="1"/>
        <c:majorTickMark val="none"/>
        <c:minorTickMark val="none"/>
        <c:tickLblPos val="nextTo"/>
        <c:spPr>
          <a:solidFill>
            <a:srgbClr val="76B53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4209871"/>
        <c:crosses val="autoZero"/>
        <c:auto val="1"/>
        <c:lblAlgn val="ctr"/>
        <c:lblOffset val="100"/>
        <c:noMultiLvlLbl val="0"/>
      </c:catAx>
      <c:valAx>
        <c:axId val="1784209871"/>
        <c:scaling>
          <c:orientation val="minMax"/>
        </c:scaling>
        <c:delete val="1"/>
        <c:axPos val="l"/>
        <c:numFmt formatCode="&quot;₹&quot;\ ##\.##,&quot;L&quot;" sourceLinked="1"/>
        <c:majorTickMark val="none"/>
        <c:minorTickMark val="none"/>
        <c:tickLblPos val="nextTo"/>
        <c:crossAx val="1784218031"/>
        <c:crosses val="autoZero"/>
        <c:crossBetween val="between"/>
      </c:valAx>
      <c:spPr>
        <a:solidFill>
          <a:sysClr val="window" lastClr="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6B53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dashboard.xlsx]Pivot tabels!PivotTable5</c:name>
    <c:fmtId val="0"/>
  </c:pivotSource>
  <c:chart>
    <c:autoTitleDeleted val="1"/>
    <c:pivotFmts>
      <c:pivotFmt>
        <c:idx val="0"/>
        <c:spPr>
          <a:ln w="25400" cap="rnd">
            <a:solidFill>
              <a:srgbClr val="92D050"/>
            </a:solidFill>
            <a:round/>
          </a:ln>
          <a:effectLst>
            <a:softEdge rad="0"/>
          </a:effectLst>
        </c:spPr>
        <c:marker>
          <c:symbol val="circle"/>
          <c:size val="14"/>
          <c:spPr>
            <a:solidFill>
              <a:schemeClr val="accent6"/>
            </a:solidFill>
            <a:ln>
              <a:noFill/>
            </a:ln>
            <a:effectLst>
              <a:softEdge rad="0"/>
            </a:effectLst>
          </c:spPr>
        </c:marker>
        <c:dLbl>
          <c:idx val="0"/>
          <c:spPr>
            <a:solidFill>
              <a:srgbClr val="70AD47"/>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5400" cap="rnd">
            <a:solidFill>
              <a:srgbClr val="92D050"/>
            </a:solidFill>
            <a:round/>
          </a:ln>
          <a:effectLst>
            <a:softEdge rad="0"/>
          </a:effectLst>
        </c:spPr>
        <c:marker>
          <c:symbol val="circle"/>
          <c:size val="14"/>
        </c:marker>
      </c:pivotFmt>
    </c:pivotFmts>
    <c:plotArea>
      <c:layout/>
      <c:lineChart>
        <c:grouping val="standard"/>
        <c:varyColors val="0"/>
        <c:ser>
          <c:idx val="0"/>
          <c:order val="0"/>
          <c:tx>
            <c:strRef>
              <c:f>'Pivot tabels'!$K$3</c:f>
              <c:strCache>
                <c:ptCount val="1"/>
                <c:pt idx="0">
                  <c:v>Total</c:v>
                </c:pt>
              </c:strCache>
            </c:strRef>
          </c:tx>
          <c:spPr>
            <a:ln w="25400" cap="rnd">
              <a:solidFill>
                <a:srgbClr val="92D050"/>
              </a:solidFill>
              <a:round/>
            </a:ln>
            <a:effectLst>
              <a:softEdge rad="0"/>
            </a:effectLst>
          </c:spPr>
          <c:marker>
            <c:symbol val="circle"/>
            <c:size val="14"/>
            <c:spPr>
              <a:solidFill>
                <a:schemeClr val="accent6"/>
              </a:solidFill>
              <a:ln>
                <a:noFill/>
              </a:ln>
              <a:effectLst>
                <a:softEdge rad="0"/>
              </a:effectLst>
            </c:spPr>
          </c:marker>
          <c:dPt>
            <c:idx val="6"/>
            <c:marker>
              <c:symbol val="circle"/>
              <c:size val="14"/>
              <c:spPr>
                <a:solidFill>
                  <a:schemeClr val="accent6"/>
                </a:solidFill>
                <a:ln>
                  <a:noFill/>
                </a:ln>
                <a:effectLst>
                  <a:softEdge rad="0"/>
                </a:effectLst>
              </c:spPr>
            </c:marker>
            <c:bubble3D val="0"/>
            <c:spPr>
              <a:ln w="25400" cap="rnd">
                <a:solidFill>
                  <a:srgbClr val="92D050"/>
                </a:solidFill>
                <a:round/>
              </a:ln>
              <a:effectLst>
                <a:softEdge rad="0"/>
              </a:effectLst>
            </c:spPr>
            <c:extLst>
              <c:ext xmlns:c16="http://schemas.microsoft.com/office/drawing/2014/chart" uri="{C3380CC4-5D6E-409C-BE32-E72D297353CC}">
                <c16:uniqueId val="{00000003-18F0-4A6C-B760-7C3D80865509}"/>
              </c:ext>
            </c:extLst>
          </c:dPt>
          <c:dLbls>
            <c:spPr>
              <a:solidFill>
                <a:srgbClr val="70AD47"/>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'Pivot tabels'!$J$4:$J$11</c:f>
              <c:strCache>
                <c:ptCount val="7"/>
                <c:pt idx="0">
                  <c:v>Laptop</c:v>
                </c:pt>
                <c:pt idx="1">
                  <c:v>Tablet</c:v>
                </c:pt>
                <c:pt idx="2">
                  <c:v>Chair</c:v>
                </c:pt>
                <c:pt idx="3">
                  <c:v>Desk</c:v>
                </c:pt>
                <c:pt idx="4">
                  <c:v>Monitor</c:v>
                </c:pt>
                <c:pt idx="5">
                  <c:v>Phone</c:v>
                </c:pt>
                <c:pt idx="6">
                  <c:v>Printer</c:v>
                </c:pt>
              </c:strCache>
            </c:strRef>
          </c:cat>
          <c:val>
            <c:numRef>
              <c:f>'Pivot tabels'!$K$4:$K$11</c:f>
              <c:numCache>
                <c:formatCode>General</c:formatCode>
                <c:ptCount val="7"/>
                <c:pt idx="0">
                  <c:v>86</c:v>
                </c:pt>
                <c:pt idx="1">
                  <c:v>37</c:v>
                </c:pt>
                <c:pt idx="2">
                  <c:v>30</c:v>
                </c:pt>
                <c:pt idx="3">
                  <c:v>29</c:v>
                </c:pt>
                <c:pt idx="4">
                  <c:v>41</c:v>
                </c:pt>
                <c:pt idx="5">
                  <c:v>11</c:v>
                </c:pt>
                <c:pt idx="6">
                  <c:v>37</c:v>
                </c:pt>
              </c:numCache>
            </c:numRef>
          </c:val>
          <c:smooth val="0"/>
          <c:extLst>
            <c:ext xmlns:c16="http://schemas.microsoft.com/office/drawing/2014/chart" uri="{C3380CC4-5D6E-409C-BE32-E72D297353CC}">
              <c16:uniqueId val="{00000000-18F0-4A6C-B760-7C3D80865509}"/>
            </c:ext>
          </c:extLst>
        </c:ser>
        <c:dLbls>
          <c:dLblPos val="ctr"/>
          <c:showLegendKey val="0"/>
          <c:showVal val="1"/>
          <c:showCatName val="0"/>
          <c:showSerName val="0"/>
          <c:showPercent val="0"/>
          <c:showBubbleSize val="0"/>
        </c:dLbls>
        <c:dropLines>
          <c:spPr>
            <a:ln w="9525" cap="flat" cmpd="sng" algn="ctr">
              <a:solidFill>
                <a:srgbClr val="76B531"/>
              </a:solidFill>
              <a:round/>
            </a:ln>
            <a:effectLst/>
          </c:spPr>
        </c:dropLines>
        <c:marker val="1"/>
        <c:smooth val="0"/>
        <c:axId val="1784204111"/>
        <c:axId val="1784212751"/>
      </c:lineChart>
      <c:catAx>
        <c:axId val="1784204111"/>
        <c:scaling>
          <c:orientation val="minMax"/>
        </c:scaling>
        <c:delete val="0"/>
        <c:axPos val="b"/>
        <c:numFmt formatCode="General" sourceLinked="1"/>
        <c:majorTickMark val="out"/>
        <c:minorTickMark val="none"/>
        <c:tickLblPos val="nextTo"/>
        <c:spPr>
          <a:solidFill>
            <a:srgbClr val="76B531"/>
          </a:solidFill>
          <a:ln>
            <a:solidFill>
              <a:schemeClr val="bg1"/>
            </a:solid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784212751"/>
        <c:crosses val="autoZero"/>
        <c:auto val="1"/>
        <c:lblAlgn val="ctr"/>
        <c:lblOffset val="100"/>
        <c:noMultiLvlLbl val="0"/>
      </c:catAx>
      <c:valAx>
        <c:axId val="1784212751"/>
        <c:scaling>
          <c:orientation val="minMax"/>
        </c:scaling>
        <c:delete val="1"/>
        <c:axPos val="l"/>
        <c:numFmt formatCode="General" sourceLinked="1"/>
        <c:majorTickMark val="none"/>
        <c:minorTickMark val="none"/>
        <c:tickLblPos val="nextTo"/>
        <c:crossAx val="1784204111"/>
        <c:crosses val="autoZero"/>
        <c:crossBetween val="between"/>
      </c:valAx>
      <c:spPr>
        <a:solidFill>
          <a:schemeClr val="bg1"/>
        </a:solid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6B53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dashboard.xlsx]Pivot tabels!PivotTable5</c:name>
    <c:fmtId val="26"/>
  </c:pivotSource>
  <c:chart>
    <c:autoTitleDeleted val="1"/>
    <c:pivotFmts>
      <c:pivotFmt>
        <c:idx val="0"/>
        <c:spPr>
          <a:pattFill prst="ltUpDiag">
            <a:fgClr>
              <a:schemeClr val="accent6"/>
            </a:fgClr>
            <a:bgClr>
              <a:schemeClr val="lt1"/>
            </a:bgClr>
          </a:pattFill>
          <a:ln w="25400" cap="rnd">
            <a:solidFill>
              <a:srgbClr val="92D050"/>
            </a:solidFill>
            <a:round/>
          </a:ln>
          <a:effectLst>
            <a:softEdge rad="0"/>
          </a:effectLst>
        </c:spPr>
        <c:marker>
          <c:symbol val="circle"/>
          <c:size val="14"/>
          <c:spPr>
            <a:solidFill>
              <a:schemeClr val="accent6"/>
            </a:solidFill>
            <a:ln>
              <a:noFill/>
            </a:ln>
            <a:effectLst>
              <a:softEdge rad="0"/>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6B53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6"/>
            </a:fgClr>
            <a:bgClr>
              <a:schemeClr val="lt1"/>
            </a:bgClr>
          </a:pattFill>
          <a:ln w="25400" cap="rnd">
            <a:solidFill>
              <a:srgbClr val="92D050"/>
            </a:solidFill>
            <a:round/>
          </a:ln>
          <a:effectLst>
            <a:softEdge rad="0"/>
          </a:effectLst>
        </c:spPr>
        <c:marker>
          <c:symbol val="circle"/>
          <c:size val="14"/>
        </c:marker>
      </c:pivotFmt>
      <c:pivotFmt>
        <c:idx val="2"/>
        <c:spPr>
          <a:pattFill prst="ltUpDiag">
            <a:fgClr>
              <a:schemeClr val="accent6"/>
            </a:fgClr>
            <a:bgClr>
              <a:schemeClr val="lt1"/>
            </a:bgClr>
          </a:pattFill>
          <a:ln w="25400" cap="rnd">
            <a:solidFill>
              <a:srgbClr val="92D050"/>
            </a:solidFill>
            <a:round/>
          </a:ln>
          <a:effectLst>
            <a:softEdge rad="0"/>
          </a:effectLst>
        </c:spPr>
        <c:marker>
          <c:symbol val="circle"/>
          <c:size val="14"/>
          <c:spPr>
            <a:solidFill>
              <a:schemeClr val="accent6"/>
            </a:solidFill>
            <a:ln>
              <a:noFill/>
            </a:ln>
            <a:effectLst>
              <a:softEdge rad="0"/>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6B53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6"/>
            </a:fgClr>
            <a:bgClr>
              <a:schemeClr val="lt1"/>
            </a:bgClr>
          </a:pattFill>
          <a:ln w="25400" cap="rnd">
            <a:solidFill>
              <a:srgbClr val="92D050"/>
            </a:solidFill>
            <a:round/>
          </a:ln>
          <a:effectLst>
            <a:softEdge rad="0"/>
          </a:effectLst>
        </c:spPr>
        <c:marker>
          <c:symbol val="circle"/>
          <c:size val="14"/>
          <c:spPr>
            <a:solidFill>
              <a:schemeClr val="accent6"/>
            </a:solidFill>
            <a:ln>
              <a:noFill/>
            </a:ln>
            <a:effectLst>
              <a:softEdge rad="0"/>
            </a:effectLst>
          </c:spPr>
        </c:marker>
      </c:pivotFmt>
      <c:pivotFmt>
        <c:idx val="4"/>
        <c:spPr>
          <a:ln w="25400" cap="rnd">
            <a:solidFill>
              <a:srgbClr val="92D050"/>
            </a:solidFill>
            <a:round/>
          </a:ln>
          <a:effectLst>
            <a:softEdge rad="0"/>
          </a:effectLst>
        </c:spPr>
        <c:marker>
          <c:symbol val="circle"/>
          <c:size val="14"/>
          <c:spPr>
            <a:solidFill>
              <a:schemeClr val="accent6"/>
            </a:solidFill>
            <a:ln>
              <a:noFill/>
            </a:ln>
            <a:effectLst>
              <a:softEdge rad="0"/>
            </a:effectLst>
          </c:spPr>
        </c:marker>
        <c:dLbl>
          <c:idx val="0"/>
          <c:spPr>
            <a:solidFill>
              <a:srgbClr val="76B53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5400" cap="rnd">
            <a:solidFill>
              <a:srgbClr val="92D050"/>
            </a:solidFill>
            <a:round/>
          </a:ln>
          <a:effectLst>
            <a:softEdge rad="0"/>
          </a:effectLst>
        </c:spPr>
        <c:marker>
          <c:symbol val="circle"/>
          <c:size val="14"/>
          <c:spPr>
            <a:solidFill>
              <a:schemeClr val="accent6"/>
            </a:solidFill>
            <a:ln>
              <a:noFill/>
            </a:ln>
            <a:effectLst>
              <a:softEdge rad="0"/>
            </a:effectLst>
          </c:spPr>
        </c:marker>
      </c:pivotFmt>
    </c:pivotFmts>
    <c:plotArea>
      <c:layout>
        <c:manualLayout>
          <c:layoutTarget val="inner"/>
          <c:xMode val="edge"/>
          <c:yMode val="edge"/>
          <c:x val="2.7986772613863193E-2"/>
          <c:y val="3.759651684553382E-2"/>
          <c:w val="0.93842910024950099"/>
          <c:h val="0.8392830314634"/>
        </c:manualLayout>
      </c:layout>
      <c:lineChart>
        <c:grouping val="standard"/>
        <c:varyColors val="0"/>
        <c:ser>
          <c:idx val="0"/>
          <c:order val="0"/>
          <c:tx>
            <c:strRef>
              <c:f>'Pivot tabels'!$K$3</c:f>
              <c:strCache>
                <c:ptCount val="1"/>
                <c:pt idx="0">
                  <c:v>Total</c:v>
                </c:pt>
              </c:strCache>
            </c:strRef>
          </c:tx>
          <c:spPr>
            <a:ln w="25400" cap="rnd">
              <a:solidFill>
                <a:srgbClr val="92D050"/>
              </a:solidFill>
              <a:round/>
            </a:ln>
            <a:effectLst>
              <a:softEdge rad="0"/>
            </a:effectLst>
          </c:spPr>
          <c:marker>
            <c:symbol val="circle"/>
            <c:size val="14"/>
            <c:spPr>
              <a:solidFill>
                <a:schemeClr val="accent6"/>
              </a:solidFill>
              <a:ln>
                <a:noFill/>
              </a:ln>
              <a:effectLst>
                <a:softEdge rad="0"/>
              </a:effectLst>
            </c:spPr>
          </c:marker>
          <c:dPt>
            <c:idx val="6"/>
            <c:marker>
              <c:symbol val="circle"/>
              <c:size val="14"/>
              <c:spPr>
                <a:solidFill>
                  <a:schemeClr val="accent6"/>
                </a:solidFill>
                <a:ln>
                  <a:noFill/>
                </a:ln>
                <a:effectLst>
                  <a:softEdge rad="0"/>
                </a:effectLst>
              </c:spPr>
            </c:marker>
            <c:bubble3D val="0"/>
            <c:spPr>
              <a:ln w="25400" cap="rnd">
                <a:solidFill>
                  <a:srgbClr val="92D050"/>
                </a:solidFill>
                <a:round/>
              </a:ln>
              <a:effectLst>
                <a:softEdge rad="0"/>
              </a:effectLst>
            </c:spPr>
            <c:extLst>
              <c:ext xmlns:c16="http://schemas.microsoft.com/office/drawing/2014/chart" uri="{C3380CC4-5D6E-409C-BE32-E72D297353CC}">
                <c16:uniqueId val="{00000000-4A0B-4F0C-B1E4-60940C331A86}"/>
              </c:ext>
            </c:extLst>
          </c:dPt>
          <c:dLbls>
            <c:spPr>
              <a:solidFill>
                <a:srgbClr val="76B53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'Pivot tabels'!$J$4:$J$11</c:f>
              <c:strCache>
                <c:ptCount val="7"/>
                <c:pt idx="0">
                  <c:v>Laptop</c:v>
                </c:pt>
                <c:pt idx="1">
                  <c:v>Tablet</c:v>
                </c:pt>
                <c:pt idx="2">
                  <c:v>Chair</c:v>
                </c:pt>
                <c:pt idx="3">
                  <c:v>Desk</c:v>
                </c:pt>
                <c:pt idx="4">
                  <c:v>Monitor</c:v>
                </c:pt>
                <c:pt idx="5">
                  <c:v>Phone</c:v>
                </c:pt>
                <c:pt idx="6">
                  <c:v>Printer</c:v>
                </c:pt>
              </c:strCache>
            </c:strRef>
          </c:cat>
          <c:val>
            <c:numRef>
              <c:f>'Pivot tabels'!$K$4:$K$11</c:f>
              <c:numCache>
                <c:formatCode>General</c:formatCode>
                <c:ptCount val="7"/>
                <c:pt idx="0">
                  <c:v>86</c:v>
                </c:pt>
                <c:pt idx="1">
                  <c:v>37</c:v>
                </c:pt>
                <c:pt idx="2">
                  <c:v>30</c:v>
                </c:pt>
                <c:pt idx="3">
                  <c:v>29</c:v>
                </c:pt>
                <c:pt idx="4">
                  <c:v>41</c:v>
                </c:pt>
                <c:pt idx="5">
                  <c:v>11</c:v>
                </c:pt>
                <c:pt idx="6">
                  <c:v>37</c:v>
                </c:pt>
              </c:numCache>
            </c:numRef>
          </c:val>
          <c:smooth val="0"/>
          <c:extLst>
            <c:ext xmlns:c16="http://schemas.microsoft.com/office/drawing/2014/chart" uri="{C3380CC4-5D6E-409C-BE32-E72D297353CC}">
              <c16:uniqueId val="{00000001-4A0B-4F0C-B1E4-60940C331A86}"/>
            </c:ext>
          </c:extLst>
        </c:ser>
        <c:dLbls>
          <c:dLblPos val="ctr"/>
          <c:showLegendKey val="0"/>
          <c:showVal val="1"/>
          <c:showCatName val="0"/>
          <c:showSerName val="0"/>
          <c:showPercent val="0"/>
          <c:showBubbleSize val="0"/>
        </c:dLbls>
        <c:dropLines>
          <c:spPr>
            <a:ln w="9525" cap="flat" cmpd="sng" algn="ctr">
              <a:solidFill>
                <a:srgbClr val="76B531"/>
              </a:solidFill>
              <a:round/>
            </a:ln>
            <a:effectLst/>
          </c:spPr>
        </c:dropLines>
        <c:marker val="1"/>
        <c:smooth val="0"/>
        <c:axId val="1784204111"/>
        <c:axId val="1784212751"/>
      </c:lineChart>
      <c:catAx>
        <c:axId val="1784204111"/>
        <c:scaling>
          <c:orientation val="minMax"/>
        </c:scaling>
        <c:delete val="0"/>
        <c:axPos val="b"/>
        <c:numFmt formatCode="General" sourceLinked="1"/>
        <c:majorTickMark val="out"/>
        <c:minorTickMark val="none"/>
        <c:tickLblPos val="nextTo"/>
        <c:spPr>
          <a:solidFill>
            <a:schemeClr val="bg1"/>
          </a:solidFill>
          <a:ln>
            <a:solidFill>
              <a:schemeClr val="bg1"/>
            </a:solidFill>
          </a:ln>
          <a:effectLst/>
        </c:spPr>
        <c:txPr>
          <a:bodyPr rot="-60000000" spcFirstLastPara="1" vertOverflow="ellipsis" vert="horz" wrap="square" anchor="ctr" anchorCtr="1"/>
          <a:lstStyle/>
          <a:p>
            <a:pPr>
              <a:defRPr sz="900" b="0" i="0" u="none" strike="noStrike" kern="1200" spc="30" baseline="0">
                <a:solidFill>
                  <a:srgbClr val="76B531"/>
                </a:solidFill>
                <a:latin typeface="+mn-lt"/>
                <a:ea typeface="+mn-ea"/>
                <a:cs typeface="+mn-cs"/>
              </a:defRPr>
            </a:pPr>
            <a:endParaRPr lang="en-US"/>
          </a:p>
        </c:txPr>
        <c:crossAx val="1784212751"/>
        <c:crosses val="autoZero"/>
        <c:auto val="1"/>
        <c:lblAlgn val="ctr"/>
        <c:lblOffset val="100"/>
        <c:noMultiLvlLbl val="0"/>
      </c:catAx>
      <c:valAx>
        <c:axId val="1784212751"/>
        <c:scaling>
          <c:orientation val="minMax"/>
        </c:scaling>
        <c:delete val="1"/>
        <c:axPos val="l"/>
        <c:numFmt formatCode="General" sourceLinked="1"/>
        <c:majorTickMark val="out"/>
        <c:minorTickMark val="none"/>
        <c:tickLblPos val="nextTo"/>
        <c:crossAx val="1784204111"/>
        <c:crosses val="autoZero"/>
        <c:crossBetween val="between"/>
      </c:valAx>
      <c:spPr>
        <a:solidFill>
          <a:srgbClr val="F5F7F9"/>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tabels!PivotTable2</c:name>
    <c:fmtId val="12"/>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6B53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6388888888888892"/>
              <c:y val="9.722222222222205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6B53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20555555555555557"/>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6B53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6111111111111112"/>
              <c:y val="-0.134259259259259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6B53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0.18055555555555555"/>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6B53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6B53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dLbl>
          <c:idx val="0"/>
          <c:layout>
            <c:manualLayout>
              <c:x val="0.16111111111111112"/>
              <c:y val="-0.134259259259259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6B53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0.18055555555555555"/>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6B53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0.16388888888888892"/>
              <c:y val="9.722222222222205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6B53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dLbl>
          <c:idx val="0"/>
          <c:layout>
            <c:manualLayout>
              <c:x val="-0.20555555555555557"/>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6B53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6B53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16111111111111112"/>
              <c:y val="-0.134259259259259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6B53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w="19050">
            <a:solidFill>
              <a:schemeClr val="lt1"/>
            </a:solidFill>
          </a:ln>
          <a:effectLst/>
        </c:spPr>
        <c:dLbl>
          <c:idx val="0"/>
          <c:layout>
            <c:manualLayout>
              <c:x val="0.18055555555555555"/>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6B53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w="19050">
            <a:solidFill>
              <a:schemeClr val="lt1"/>
            </a:solidFill>
          </a:ln>
          <a:effectLst/>
        </c:spPr>
        <c:dLbl>
          <c:idx val="0"/>
          <c:layout>
            <c:manualLayout>
              <c:x val="-0.16388888888888892"/>
              <c:y val="9.722222222222205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6B53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w="19050">
            <a:solidFill>
              <a:schemeClr val="lt1"/>
            </a:solidFill>
          </a:ln>
          <a:effectLst/>
        </c:spPr>
        <c:dLbl>
          <c:idx val="0"/>
          <c:layout>
            <c:manualLayout>
              <c:x val="-0.20555555555555557"/>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6B53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722418859892689"/>
          <c:y val="0.10595931770918254"/>
          <c:w val="0.51356543796646159"/>
          <c:h val="0.7886484623284048"/>
        </c:manualLayout>
      </c:layout>
      <c:doughnutChart>
        <c:varyColors val="1"/>
        <c:ser>
          <c:idx val="0"/>
          <c:order val="0"/>
          <c:tx>
            <c:strRef>
              <c:f>'Pivot tabels'!$B$3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7F2-48AE-8C1C-4FA05072958C}"/>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87F2-48AE-8C1C-4FA05072958C}"/>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87F2-48AE-8C1C-4FA05072958C}"/>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87F2-48AE-8C1C-4FA05072958C}"/>
              </c:ext>
            </c:extLst>
          </c:dPt>
          <c:dLbls>
            <c:dLbl>
              <c:idx val="0"/>
              <c:layout>
                <c:manualLayout>
                  <c:x val="-0.20555555555555557"/>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7F2-48AE-8C1C-4FA05072958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76B53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tabels'!$A$4:$A$5</c:f>
              <c:strCache>
                <c:ptCount val="1"/>
                <c:pt idx="0">
                  <c:v>West</c:v>
                </c:pt>
              </c:strCache>
            </c:strRef>
          </c:cat>
          <c:val>
            <c:numRef>
              <c:f>'Pivot tabels'!$B$4:$B$5</c:f>
              <c:numCache>
                <c:formatCode>"₹"\ ##\.##,"L"</c:formatCode>
                <c:ptCount val="1"/>
                <c:pt idx="0">
                  <c:v>9526400</c:v>
                </c:pt>
              </c:numCache>
            </c:numRef>
          </c:val>
          <c:extLst>
            <c:ext xmlns:c16="http://schemas.microsoft.com/office/drawing/2014/chart" uri="{C3380CC4-5D6E-409C-BE32-E72D297353CC}">
              <c16:uniqueId val="{00000008-87F2-48AE-8C1C-4FA05072958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7F9"/>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dashboard.xlsx]Pivot tabels!PivotTable3</c:name>
    <c:fmtId val="4"/>
  </c:pivotSource>
  <c:chart>
    <c:autoTitleDeleted val="1"/>
    <c:pivotFmts>
      <c:pivotFmt>
        <c:idx val="0"/>
        <c:spPr>
          <a:solidFill>
            <a:schemeClr val="accent2"/>
          </a:solidFill>
          <a:ln>
            <a:no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900" b="1" i="0" u="none" strike="noStrike" kern="1200" baseline="0">
                  <a:solidFill>
                    <a:srgbClr val="76B53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900" b="1" i="0" u="none" strike="noStrike" kern="1200" baseline="0">
                  <a:solidFill>
                    <a:srgbClr val="76B53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6B531"/>
          </a:solidFill>
          <a:ln>
            <a:no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900" b="1" i="0" u="none" strike="noStrike" kern="1200" baseline="0">
                  <a:solidFill>
                    <a:srgbClr val="76B53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89991650660096"/>
          <c:y val="0"/>
          <c:w val="0.88409999669841388"/>
          <c:h val="1"/>
        </c:manualLayout>
      </c:layout>
      <c:barChart>
        <c:barDir val="bar"/>
        <c:grouping val="clustered"/>
        <c:varyColors val="0"/>
        <c:ser>
          <c:idx val="0"/>
          <c:order val="0"/>
          <c:tx>
            <c:strRef>
              <c:f>'Pivot tabels'!$E$3</c:f>
              <c:strCache>
                <c:ptCount val="1"/>
                <c:pt idx="0">
                  <c:v>Total</c:v>
                </c:pt>
              </c:strCache>
            </c:strRef>
          </c:tx>
          <c:spPr>
            <a:solidFill>
              <a:srgbClr val="76B531"/>
            </a:solidFill>
            <a:ln>
              <a:noFill/>
            </a:ln>
            <a:effectLst/>
          </c:spPr>
          <c:invertIfNegative val="0"/>
          <c:dLbls>
            <c:spPr>
              <a:solidFill>
                <a:schemeClr val="bg1"/>
              </a:solidFill>
              <a:ln>
                <a:noFill/>
              </a:ln>
              <a:effectLst/>
            </c:spPr>
            <c:txPr>
              <a:bodyPr rot="0" spcFirstLastPara="1" vertOverflow="ellipsis" vert="horz" wrap="square" anchor="ctr" anchorCtr="1"/>
              <a:lstStyle/>
              <a:p>
                <a:pPr>
                  <a:defRPr sz="900" b="1" i="0" u="none" strike="noStrike" kern="1200" baseline="0">
                    <a:solidFill>
                      <a:srgbClr val="76B53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tabels'!$D$4:$D$11</c:f>
              <c:strCache>
                <c:ptCount val="7"/>
                <c:pt idx="0">
                  <c:v>Laptop</c:v>
                </c:pt>
                <c:pt idx="1">
                  <c:v>Tablet</c:v>
                </c:pt>
                <c:pt idx="2">
                  <c:v>Chair</c:v>
                </c:pt>
                <c:pt idx="3">
                  <c:v>Desk</c:v>
                </c:pt>
                <c:pt idx="4">
                  <c:v>Monitor</c:v>
                </c:pt>
                <c:pt idx="5">
                  <c:v>Phone</c:v>
                </c:pt>
                <c:pt idx="6">
                  <c:v>Printer</c:v>
                </c:pt>
              </c:strCache>
            </c:strRef>
          </c:cat>
          <c:val>
            <c:numRef>
              <c:f>'Pivot tabels'!$E$4:$E$11</c:f>
              <c:numCache>
                <c:formatCode>"₹"\ ##\.##,"L"</c:formatCode>
                <c:ptCount val="7"/>
                <c:pt idx="0">
                  <c:v>6280800</c:v>
                </c:pt>
                <c:pt idx="1">
                  <c:v>1290400</c:v>
                </c:pt>
                <c:pt idx="2">
                  <c:v>49800</c:v>
                </c:pt>
                <c:pt idx="3">
                  <c:v>134300</c:v>
                </c:pt>
                <c:pt idx="4">
                  <c:v>645900</c:v>
                </c:pt>
                <c:pt idx="5">
                  <c:v>341100</c:v>
                </c:pt>
                <c:pt idx="6">
                  <c:v>784100</c:v>
                </c:pt>
              </c:numCache>
            </c:numRef>
          </c:val>
          <c:extLst>
            <c:ext xmlns:c16="http://schemas.microsoft.com/office/drawing/2014/chart" uri="{C3380CC4-5D6E-409C-BE32-E72D297353CC}">
              <c16:uniqueId val="{00000000-E369-4A87-8B24-22FEA6CE2A47}"/>
            </c:ext>
          </c:extLst>
        </c:ser>
        <c:dLbls>
          <c:showLegendKey val="0"/>
          <c:showVal val="0"/>
          <c:showCatName val="0"/>
          <c:showSerName val="0"/>
          <c:showPercent val="0"/>
          <c:showBubbleSize val="0"/>
        </c:dLbls>
        <c:gapWidth val="43"/>
        <c:axId val="1784201711"/>
        <c:axId val="1784202191"/>
      </c:barChart>
      <c:catAx>
        <c:axId val="1784201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76B531"/>
                </a:solidFill>
                <a:latin typeface="+mn-lt"/>
                <a:ea typeface="+mn-ea"/>
                <a:cs typeface="+mn-cs"/>
              </a:defRPr>
            </a:pPr>
            <a:endParaRPr lang="en-US"/>
          </a:p>
        </c:txPr>
        <c:crossAx val="1784202191"/>
        <c:crosses val="autoZero"/>
        <c:auto val="1"/>
        <c:lblAlgn val="ctr"/>
        <c:lblOffset val="100"/>
        <c:noMultiLvlLbl val="0"/>
      </c:catAx>
      <c:valAx>
        <c:axId val="1784202191"/>
        <c:scaling>
          <c:orientation val="minMax"/>
        </c:scaling>
        <c:delete val="1"/>
        <c:axPos val="b"/>
        <c:numFmt formatCode="&quot;₹&quot;\ ##\.##,&quot;L&quot;" sourceLinked="1"/>
        <c:majorTickMark val="none"/>
        <c:minorTickMark val="none"/>
        <c:tickLblPos val="nextTo"/>
        <c:crossAx val="1784201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dashboard.xlsx]Pivot tabels!PivotTable4</c:name>
    <c:fmtId val="19"/>
  </c:pivotSource>
  <c:chart>
    <c:autoTitleDeleted val="1"/>
    <c:pivotFmts>
      <c:pivotFmt>
        <c:idx val="0"/>
        <c:spPr>
          <a:solidFill>
            <a:srgbClr val="76B5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6B5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6B531"/>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rgbClr val="76B53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208618051109195E-2"/>
          <c:y val="2.0480953394339221E-2"/>
          <c:w val="0.92634375847712425"/>
          <c:h val="0.85528045868511848"/>
        </c:manualLayout>
      </c:layout>
      <c:barChart>
        <c:barDir val="col"/>
        <c:grouping val="clustered"/>
        <c:varyColors val="0"/>
        <c:ser>
          <c:idx val="0"/>
          <c:order val="0"/>
          <c:tx>
            <c:strRef>
              <c:f>'Pivot tabels'!$H$3</c:f>
              <c:strCache>
                <c:ptCount val="1"/>
                <c:pt idx="0">
                  <c:v>Total</c:v>
                </c:pt>
              </c:strCache>
            </c:strRef>
          </c:tx>
          <c:spPr>
            <a:solidFill>
              <a:srgbClr val="76B531"/>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rgbClr val="76B53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tabels'!$G$4:$G$10</c:f>
              <c:strCache>
                <c:ptCount val="6"/>
                <c:pt idx="0">
                  <c:v>Alice</c:v>
                </c:pt>
                <c:pt idx="1">
                  <c:v>Bob</c:v>
                </c:pt>
                <c:pt idx="2">
                  <c:v>Carlos</c:v>
                </c:pt>
                <c:pt idx="3">
                  <c:v>Diana</c:v>
                </c:pt>
                <c:pt idx="4">
                  <c:v>Eva</c:v>
                </c:pt>
                <c:pt idx="5">
                  <c:v>Frank</c:v>
                </c:pt>
              </c:strCache>
            </c:strRef>
          </c:cat>
          <c:val>
            <c:numRef>
              <c:f>'Pivot tabels'!$H$4:$H$10</c:f>
              <c:numCache>
                <c:formatCode>"₹"\ ##\.##,"L"</c:formatCode>
                <c:ptCount val="6"/>
                <c:pt idx="0">
                  <c:v>1943400</c:v>
                </c:pt>
                <c:pt idx="1">
                  <c:v>2460600</c:v>
                </c:pt>
                <c:pt idx="2">
                  <c:v>62400</c:v>
                </c:pt>
                <c:pt idx="3">
                  <c:v>1563300</c:v>
                </c:pt>
                <c:pt idx="4">
                  <c:v>1590300</c:v>
                </c:pt>
                <c:pt idx="5">
                  <c:v>1906400</c:v>
                </c:pt>
              </c:numCache>
            </c:numRef>
          </c:val>
          <c:extLst>
            <c:ext xmlns:c16="http://schemas.microsoft.com/office/drawing/2014/chart" uri="{C3380CC4-5D6E-409C-BE32-E72D297353CC}">
              <c16:uniqueId val="{00000000-2A5F-4570-A98B-D5C29CC5E959}"/>
            </c:ext>
          </c:extLst>
        </c:ser>
        <c:dLbls>
          <c:showLegendKey val="0"/>
          <c:showVal val="0"/>
          <c:showCatName val="0"/>
          <c:showSerName val="0"/>
          <c:showPercent val="0"/>
          <c:showBubbleSize val="0"/>
        </c:dLbls>
        <c:gapWidth val="99"/>
        <c:overlap val="-25"/>
        <c:axId val="1784218031"/>
        <c:axId val="1784209871"/>
      </c:barChart>
      <c:catAx>
        <c:axId val="178421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ln>
                  <a:noFill/>
                </a:ln>
                <a:solidFill>
                  <a:srgbClr val="76B531"/>
                </a:solidFill>
                <a:latin typeface="+mn-lt"/>
                <a:ea typeface="+mn-ea"/>
                <a:cs typeface="+mn-cs"/>
              </a:defRPr>
            </a:pPr>
            <a:endParaRPr lang="en-US"/>
          </a:p>
        </c:txPr>
        <c:crossAx val="1784209871"/>
        <c:crosses val="autoZero"/>
        <c:auto val="1"/>
        <c:lblAlgn val="ctr"/>
        <c:lblOffset val="100"/>
        <c:noMultiLvlLbl val="0"/>
      </c:catAx>
      <c:valAx>
        <c:axId val="1784209871"/>
        <c:scaling>
          <c:orientation val="minMax"/>
        </c:scaling>
        <c:delete val="1"/>
        <c:axPos val="l"/>
        <c:numFmt formatCode="&quot;₹&quot;\ ##\.##,&quot;L&quot;" sourceLinked="1"/>
        <c:majorTickMark val="none"/>
        <c:minorTickMark val="none"/>
        <c:tickLblPos val="nextTo"/>
        <c:crossAx val="1784218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76B53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9.sv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chart" Target="../charts/chart8.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chart" Target="../charts/chart7.xml"/><Relationship Id="rId5" Type="http://schemas.openxmlformats.org/officeDocument/2006/relationships/image" Target="../media/image6.png"/><Relationship Id="rId10" Type="http://schemas.openxmlformats.org/officeDocument/2006/relationships/chart" Target="../charts/chart6.xml"/><Relationship Id="rId4" Type="http://schemas.openxmlformats.org/officeDocument/2006/relationships/image" Target="../media/image5.sv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101600</xdr:rowOff>
    </xdr:from>
    <xdr:to>
      <xdr:col>4</xdr:col>
      <xdr:colOff>247650</xdr:colOff>
      <xdr:row>23</xdr:row>
      <xdr:rowOff>158750</xdr:rowOff>
    </xdr:to>
    <xdr:graphicFrame macro="">
      <xdr:nvGraphicFramePr>
        <xdr:cNvPr id="2" name="Chart 1">
          <a:extLst>
            <a:ext uri="{FF2B5EF4-FFF2-40B4-BE49-F238E27FC236}">
              <a16:creationId xmlns:a16="http://schemas.microsoft.com/office/drawing/2014/main" id="{ACBFE668-9C77-97A8-D99F-46E31A5C07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549275</xdr:colOff>
      <xdr:row>12</xdr:row>
      <xdr:rowOff>0</xdr:rowOff>
    </xdr:from>
    <xdr:to>
      <xdr:col>8</xdr:col>
      <xdr:colOff>336550</xdr:colOff>
      <xdr:row>20</xdr:row>
      <xdr:rowOff>57150</xdr:rowOff>
    </xdr:to>
    <xdr:graphicFrame macro="">
      <xdr:nvGraphicFramePr>
        <xdr:cNvPr id="3" name="Chart 2">
          <a:extLst>
            <a:ext uri="{FF2B5EF4-FFF2-40B4-BE49-F238E27FC236}">
              <a16:creationId xmlns:a16="http://schemas.microsoft.com/office/drawing/2014/main" id="{3A2FA806-66B4-8184-3054-4807228D30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485913</xdr:colOff>
      <xdr:row>12</xdr:row>
      <xdr:rowOff>120650</xdr:rowOff>
    </xdr:from>
    <xdr:to>
      <xdr:col>12</xdr:col>
      <xdr:colOff>565150</xdr:colOff>
      <xdr:row>22</xdr:row>
      <xdr:rowOff>158750</xdr:rowOff>
    </xdr:to>
    <xdr:graphicFrame macro="">
      <xdr:nvGraphicFramePr>
        <xdr:cNvPr id="4" name="Chart 3">
          <a:extLst>
            <a:ext uri="{FF2B5EF4-FFF2-40B4-BE49-F238E27FC236}">
              <a16:creationId xmlns:a16="http://schemas.microsoft.com/office/drawing/2014/main" id="{827FB2E7-AD57-1D80-84C7-89E907A096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585643</xdr:colOff>
      <xdr:row>9</xdr:row>
      <xdr:rowOff>94096</xdr:rowOff>
    </xdr:from>
    <xdr:to>
      <xdr:col>21</xdr:col>
      <xdr:colOff>261216</xdr:colOff>
      <xdr:row>24</xdr:row>
      <xdr:rowOff>75045</xdr:rowOff>
    </xdr:to>
    <xdr:graphicFrame macro="">
      <xdr:nvGraphicFramePr>
        <xdr:cNvPr id="5" name="Chart 4">
          <a:extLst>
            <a:ext uri="{FF2B5EF4-FFF2-40B4-BE49-F238E27FC236}">
              <a16:creationId xmlns:a16="http://schemas.microsoft.com/office/drawing/2014/main" id="{3F8585F7-2F5A-8CF7-11A6-3C844CA98B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164352</xdr:colOff>
      <xdr:row>30</xdr:row>
      <xdr:rowOff>62754</xdr:rowOff>
    </xdr:from>
    <xdr:to>
      <xdr:col>18</xdr:col>
      <xdr:colOff>20329</xdr:colOff>
      <xdr:row>44</xdr:row>
      <xdr:rowOff>6164</xdr:rowOff>
    </xdr:to>
    <mc:AlternateContent xmlns:mc="http://schemas.openxmlformats.org/markup-compatibility/2006" xmlns:a14="http://schemas.microsoft.com/office/drawing/2010/main">
      <mc:Choice Requires="a14">
        <xdr:graphicFrame macro="">
          <xdr:nvGraphicFramePr>
            <xdr:cNvPr id="9" name="Salesperson">
              <a:extLst>
                <a:ext uri="{FF2B5EF4-FFF2-40B4-BE49-F238E27FC236}">
                  <a16:creationId xmlns:a16="http://schemas.microsoft.com/office/drawing/2014/main" id="{0FEECFFF-57B5-B249-4CC1-4C5EA582CB2F}"/>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4162574" y="5566087"/>
              <a:ext cx="1845645" cy="25116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589056</xdr:colOff>
      <xdr:row>3</xdr:row>
      <xdr:rowOff>43705</xdr:rowOff>
    </xdr:from>
    <xdr:to>
      <xdr:col>17</xdr:col>
      <xdr:colOff>445782</xdr:colOff>
      <xdr:row>7</xdr:row>
      <xdr:rowOff>28390</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30B95CEB-86C2-DFD7-6895-9D71FF1768B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924056" y="594038"/>
              <a:ext cx="1846392" cy="7184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116915</xdr:colOff>
      <xdr:row>40</xdr:row>
      <xdr:rowOff>18677</xdr:rowOff>
    </xdr:from>
    <xdr:to>
      <xdr:col>13</xdr:col>
      <xdr:colOff>67024</xdr:colOff>
      <xdr:row>53</xdr:row>
      <xdr:rowOff>148852</xdr:rowOff>
    </xdr:to>
    <mc:AlternateContent xmlns:mc="http://schemas.openxmlformats.org/markup-compatibility/2006" xmlns:a14="http://schemas.microsoft.com/office/drawing/2010/main">
      <mc:Choice Requires="a14">
        <xdr:graphicFrame macro="">
          <xdr:nvGraphicFramePr>
            <xdr:cNvPr id="11" name="Product">
              <a:extLst>
                <a:ext uri="{FF2B5EF4-FFF2-40B4-BE49-F238E27FC236}">
                  <a16:creationId xmlns:a16="http://schemas.microsoft.com/office/drawing/2014/main" id="{D91A0C16-FF59-2405-7EC1-BB7E036ACEB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911915" y="7356455"/>
              <a:ext cx="1826886" cy="25149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526941</xdr:colOff>
      <xdr:row>6</xdr:row>
      <xdr:rowOff>64460</xdr:rowOff>
    </xdr:from>
    <xdr:to>
      <xdr:col>27</xdr:col>
      <xdr:colOff>377637</xdr:colOff>
      <xdr:row>20</xdr:row>
      <xdr:rowOff>48585</xdr:rowOff>
    </xdr:to>
    <mc:AlternateContent xmlns:mc="http://schemas.openxmlformats.org/markup-compatibility/2006" xmlns:a14="http://schemas.microsoft.com/office/drawing/2010/main">
      <mc:Choice Requires="a14">
        <xdr:graphicFrame macro="">
          <xdr:nvGraphicFramePr>
            <xdr:cNvPr id="16" name="Profit">
              <a:extLst>
                <a:ext uri="{FF2B5EF4-FFF2-40B4-BE49-F238E27FC236}">
                  <a16:creationId xmlns:a16="http://schemas.microsoft.com/office/drawing/2014/main" id="{0095ACEA-5BB4-96E7-3A2B-AD9A018BD2C3}"/>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mlns="">
        <xdr:sp macro="" textlink="">
          <xdr:nvSpPr>
            <xdr:cNvPr id="0" name=""/>
            <xdr:cNvSpPr>
              <a:spLocks noTextEdit="1"/>
            </xdr:cNvSpPr>
          </xdr:nvSpPr>
          <xdr:spPr>
            <a:xfrm>
              <a:off x="20494163" y="1165127"/>
              <a:ext cx="1840363" cy="25523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194388</xdr:colOff>
      <xdr:row>4</xdr:row>
      <xdr:rowOff>55400</xdr:rowOff>
    </xdr:to>
    <xdr:sp macro="" textlink="">
      <xdr:nvSpPr>
        <xdr:cNvPr id="2" name="Rectangle: Rounded Corners 1">
          <a:extLst>
            <a:ext uri="{FF2B5EF4-FFF2-40B4-BE49-F238E27FC236}">
              <a16:creationId xmlns:a16="http://schemas.microsoft.com/office/drawing/2014/main" id="{90E921E8-77EA-4739-8BB2-76FE8720F66D}"/>
            </a:ext>
          </a:extLst>
        </xdr:cNvPr>
        <xdr:cNvSpPr/>
      </xdr:nvSpPr>
      <xdr:spPr>
        <a:xfrm>
          <a:off x="0" y="0"/>
          <a:ext cx="12342214" cy="773226"/>
        </a:xfrm>
        <a:prstGeom prst="roundRect">
          <a:avLst/>
        </a:prstGeom>
        <a:solidFill>
          <a:schemeClr val="bg1"/>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solidFill>
              <a:srgbClr val="76B531"/>
            </a:solidFill>
            <a:latin typeface="Arial Black" panose="020B0A04020102020204" pitchFamily="34" charset="0"/>
          </a:endParaRPr>
        </a:p>
      </xdr:txBody>
    </xdr:sp>
    <xdr:clientData/>
  </xdr:twoCellAnchor>
  <xdr:twoCellAnchor>
    <xdr:from>
      <xdr:col>0</xdr:col>
      <xdr:colOff>0</xdr:colOff>
      <xdr:row>4</xdr:row>
      <xdr:rowOff>76200</xdr:rowOff>
    </xdr:from>
    <xdr:to>
      <xdr:col>3</xdr:col>
      <xdr:colOff>475200</xdr:colOff>
      <xdr:row>9</xdr:row>
      <xdr:rowOff>19450</xdr:rowOff>
    </xdr:to>
    <xdr:grpSp>
      <xdr:nvGrpSpPr>
        <xdr:cNvPr id="9" name="Group 8">
          <a:extLst>
            <a:ext uri="{FF2B5EF4-FFF2-40B4-BE49-F238E27FC236}">
              <a16:creationId xmlns:a16="http://schemas.microsoft.com/office/drawing/2014/main" id="{9845F26A-661C-5634-41A9-7211EADB451A}"/>
            </a:ext>
          </a:extLst>
        </xdr:cNvPr>
        <xdr:cNvGrpSpPr/>
      </xdr:nvGrpSpPr>
      <xdr:grpSpPr>
        <a:xfrm>
          <a:off x="0" y="768927"/>
          <a:ext cx="2449473" cy="809159"/>
          <a:chOff x="0" y="812800"/>
          <a:chExt cx="2304000" cy="864000"/>
        </a:xfrm>
      </xdr:grpSpPr>
      <xdr:sp macro="" textlink="">
        <xdr:nvSpPr>
          <xdr:cNvPr id="3" name="Rectangle: Rounded Corners 2">
            <a:extLst>
              <a:ext uri="{FF2B5EF4-FFF2-40B4-BE49-F238E27FC236}">
                <a16:creationId xmlns:a16="http://schemas.microsoft.com/office/drawing/2014/main" id="{1D2F5CE7-CB3E-4367-8245-B9421866768E}"/>
              </a:ext>
            </a:extLst>
          </xdr:cNvPr>
          <xdr:cNvSpPr/>
        </xdr:nvSpPr>
        <xdr:spPr>
          <a:xfrm>
            <a:off x="0" y="812800"/>
            <a:ext cx="2304000" cy="864000"/>
          </a:xfrm>
          <a:prstGeom prst="round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4C175998-6686-4A34-A75C-E43E0A0C70B8}"/>
              </a:ext>
            </a:extLst>
          </xdr:cNvPr>
          <xdr:cNvSpPr/>
        </xdr:nvSpPr>
        <xdr:spPr>
          <a:xfrm>
            <a:off x="38100" y="850900"/>
            <a:ext cx="684000" cy="792000"/>
          </a:xfrm>
          <a:prstGeom prst="roundRect">
            <a:avLst/>
          </a:prstGeom>
          <a:solidFill>
            <a:srgbClr val="76B53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rgbClr val="4DB6AC"/>
              </a:solidFill>
            </a:endParaRPr>
          </a:p>
        </xdr:txBody>
      </xdr:sp>
      <xdr:sp macro="" textlink="">
        <xdr:nvSpPr>
          <xdr:cNvPr id="5" name="TextBox 4">
            <a:extLst>
              <a:ext uri="{FF2B5EF4-FFF2-40B4-BE49-F238E27FC236}">
                <a16:creationId xmlns:a16="http://schemas.microsoft.com/office/drawing/2014/main" id="{3BC2B481-62BA-A317-F23B-942FD5640A20}"/>
              </a:ext>
            </a:extLst>
          </xdr:cNvPr>
          <xdr:cNvSpPr txBox="1"/>
        </xdr:nvSpPr>
        <xdr:spPr>
          <a:xfrm>
            <a:off x="838200" y="876300"/>
            <a:ext cx="1276350" cy="2921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rgbClr val="76B531"/>
                </a:solidFill>
                <a:latin typeface="Aptos Narrow" panose="020B0004020202020204" pitchFamily="34" charset="0"/>
              </a:rPr>
              <a:t>TOTAL</a:t>
            </a:r>
            <a:r>
              <a:rPr lang="en-IN" sz="1100" b="1" baseline="0">
                <a:solidFill>
                  <a:srgbClr val="76B531"/>
                </a:solidFill>
                <a:latin typeface="Aptos Narrow" panose="020B0004020202020204" pitchFamily="34" charset="0"/>
              </a:rPr>
              <a:t> SALES</a:t>
            </a:r>
            <a:endParaRPr lang="en-IN" sz="1100" b="1">
              <a:solidFill>
                <a:srgbClr val="76B531"/>
              </a:solidFill>
              <a:latin typeface="Aptos Narrow" panose="020B0004020202020204" pitchFamily="34" charset="0"/>
            </a:endParaRPr>
          </a:p>
        </xdr:txBody>
      </xdr:sp>
      <xdr:sp macro="" textlink="neat!M2">
        <xdr:nvSpPr>
          <xdr:cNvPr id="7" name="TextBox 6">
            <a:extLst>
              <a:ext uri="{FF2B5EF4-FFF2-40B4-BE49-F238E27FC236}">
                <a16:creationId xmlns:a16="http://schemas.microsoft.com/office/drawing/2014/main" id="{B20B9D42-38A4-BCD0-E269-D49BD13BDC61}"/>
              </a:ext>
            </a:extLst>
          </xdr:cNvPr>
          <xdr:cNvSpPr txBox="1"/>
        </xdr:nvSpPr>
        <xdr:spPr>
          <a:xfrm>
            <a:off x="762000" y="1225550"/>
            <a:ext cx="1428750" cy="3683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A627BFC-1D85-4C38-82F7-6E9AB30D9473}" type="TxLink">
              <a:rPr lang="en-US" sz="1400" b="1" i="0" u="none" strike="noStrike">
                <a:solidFill>
                  <a:srgbClr val="76B531"/>
                </a:solidFill>
                <a:latin typeface="Calibri"/>
                <a:ea typeface="Calibri"/>
                <a:cs typeface="Calibri"/>
              </a:rPr>
              <a:pPr algn="ctr"/>
              <a:t>₹ 3,02,46,800.00</a:t>
            </a:fld>
            <a:endParaRPr lang="en-IN" sz="1400" b="1">
              <a:solidFill>
                <a:srgbClr val="76B531"/>
              </a:solidFill>
            </a:endParaRPr>
          </a:p>
        </xdr:txBody>
      </xdr:sp>
    </xdr:grpSp>
    <xdr:clientData/>
  </xdr:twoCellAnchor>
  <xdr:twoCellAnchor>
    <xdr:from>
      <xdr:col>3</xdr:col>
      <xdr:colOff>495300</xdr:colOff>
      <xdr:row>4</xdr:row>
      <xdr:rowOff>76200</xdr:rowOff>
    </xdr:from>
    <xdr:to>
      <xdr:col>7</xdr:col>
      <xdr:colOff>360900</xdr:colOff>
      <xdr:row>9</xdr:row>
      <xdr:rowOff>19450</xdr:rowOff>
    </xdr:to>
    <xdr:grpSp>
      <xdr:nvGrpSpPr>
        <xdr:cNvPr id="25" name="Group 24">
          <a:extLst>
            <a:ext uri="{FF2B5EF4-FFF2-40B4-BE49-F238E27FC236}">
              <a16:creationId xmlns:a16="http://schemas.microsoft.com/office/drawing/2014/main" id="{43259C5B-9052-304E-8E25-FEDDEA464E22}"/>
            </a:ext>
          </a:extLst>
        </xdr:cNvPr>
        <xdr:cNvGrpSpPr/>
      </xdr:nvGrpSpPr>
      <xdr:grpSpPr>
        <a:xfrm>
          <a:off x="2469573" y="768927"/>
          <a:ext cx="2497963" cy="809159"/>
          <a:chOff x="0" y="812800"/>
          <a:chExt cx="2304000" cy="864000"/>
        </a:xfrm>
      </xdr:grpSpPr>
      <xdr:sp macro="" textlink="">
        <xdr:nvSpPr>
          <xdr:cNvPr id="26" name="Rectangle: Rounded Corners 25">
            <a:extLst>
              <a:ext uri="{FF2B5EF4-FFF2-40B4-BE49-F238E27FC236}">
                <a16:creationId xmlns:a16="http://schemas.microsoft.com/office/drawing/2014/main" id="{FAA2735E-07B5-B1EA-A766-0A9E4F9D28DC}"/>
              </a:ext>
            </a:extLst>
          </xdr:cNvPr>
          <xdr:cNvSpPr/>
        </xdr:nvSpPr>
        <xdr:spPr>
          <a:xfrm>
            <a:off x="0" y="812800"/>
            <a:ext cx="2304000" cy="864000"/>
          </a:xfrm>
          <a:prstGeom prst="round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7" name="Rectangle: Rounded Corners 26">
            <a:extLst>
              <a:ext uri="{FF2B5EF4-FFF2-40B4-BE49-F238E27FC236}">
                <a16:creationId xmlns:a16="http://schemas.microsoft.com/office/drawing/2014/main" id="{B0B695BB-CF97-6473-4C5C-9A2A758A4FC6}"/>
              </a:ext>
            </a:extLst>
          </xdr:cNvPr>
          <xdr:cNvSpPr/>
        </xdr:nvSpPr>
        <xdr:spPr>
          <a:xfrm>
            <a:off x="38100" y="850900"/>
            <a:ext cx="684000" cy="792000"/>
          </a:xfrm>
          <a:prstGeom prst="roundRect">
            <a:avLst/>
          </a:prstGeom>
          <a:solidFill>
            <a:srgbClr val="76B53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rgbClr val="4DB6AC"/>
              </a:solidFill>
            </a:endParaRPr>
          </a:p>
        </xdr:txBody>
      </xdr:sp>
      <xdr:sp macro="" textlink="">
        <xdr:nvSpPr>
          <xdr:cNvPr id="28" name="TextBox 27">
            <a:extLst>
              <a:ext uri="{FF2B5EF4-FFF2-40B4-BE49-F238E27FC236}">
                <a16:creationId xmlns:a16="http://schemas.microsoft.com/office/drawing/2014/main" id="{B8656BE3-4C4D-66E9-DBD5-5EA88FE8E16E}"/>
              </a:ext>
            </a:extLst>
          </xdr:cNvPr>
          <xdr:cNvSpPr txBox="1"/>
        </xdr:nvSpPr>
        <xdr:spPr>
          <a:xfrm>
            <a:off x="838200" y="876300"/>
            <a:ext cx="1276350" cy="2921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rgbClr val="76B531"/>
                </a:solidFill>
              </a:rPr>
              <a:t>AVERAGE</a:t>
            </a:r>
            <a:r>
              <a:rPr lang="en-IN" sz="1200" b="1" baseline="0">
                <a:solidFill>
                  <a:srgbClr val="76B531"/>
                </a:solidFill>
              </a:rPr>
              <a:t> SALES</a:t>
            </a:r>
          </a:p>
          <a:p>
            <a:pPr algn="ctr"/>
            <a:endParaRPr lang="en-IN" sz="1050" b="1">
              <a:solidFill>
                <a:srgbClr val="76B531"/>
              </a:solidFill>
            </a:endParaRPr>
          </a:p>
        </xdr:txBody>
      </xdr:sp>
      <xdr:sp macro="" textlink="neat!M8">
        <xdr:nvSpPr>
          <xdr:cNvPr id="29" name="TextBox 28">
            <a:extLst>
              <a:ext uri="{FF2B5EF4-FFF2-40B4-BE49-F238E27FC236}">
                <a16:creationId xmlns:a16="http://schemas.microsoft.com/office/drawing/2014/main" id="{FEA08FB9-7ACD-F5F9-890B-E5C870AE816E}"/>
              </a:ext>
            </a:extLst>
          </xdr:cNvPr>
          <xdr:cNvSpPr txBox="1"/>
        </xdr:nvSpPr>
        <xdr:spPr>
          <a:xfrm>
            <a:off x="762000" y="1225550"/>
            <a:ext cx="1428750" cy="3683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9182A37-0239-42A2-9229-62AA7C5EC042}" type="TxLink">
              <a:rPr lang="en-US" sz="1400" b="1" i="0" u="none" strike="noStrike">
                <a:solidFill>
                  <a:srgbClr val="76B531"/>
                </a:solidFill>
                <a:latin typeface="Calibri"/>
                <a:ea typeface="Calibri"/>
                <a:cs typeface="Calibri"/>
              </a:rPr>
              <a:pPr algn="ctr"/>
              <a:t>₹ 3,05,523.23</a:t>
            </a:fld>
            <a:endParaRPr lang="en-IN" sz="1800" b="1" i="0" u="none" strike="noStrike">
              <a:solidFill>
                <a:srgbClr val="76B531"/>
              </a:solidFill>
              <a:latin typeface="Calibri"/>
              <a:ea typeface="Calibri"/>
              <a:cs typeface="Calibri"/>
            </a:endParaRPr>
          </a:p>
        </xdr:txBody>
      </xdr:sp>
    </xdr:grpSp>
    <xdr:clientData/>
  </xdr:twoCellAnchor>
  <xdr:twoCellAnchor>
    <xdr:from>
      <xdr:col>7</xdr:col>
      <xdr:colOff>387350</xdr:colOff>
      <xdr:row>4</xdr:row>
      <xdr:rowOff>76200</xdr:rowOff>
    </xdr:from>
    <xdr:to>
      <xdr:col>11</xdr:col>
      <xdr:colOff>252950</xdr:colOff>
      <xdr:row>9</xdr:row>
      <xdr:rowOff>19450</xdr:rowOff>
    </xdr:to>
    <xdr:grpSp>
      <xdr:nvGrpSpPr>
        <xdr:cNvPr id="30" name="Group 29">
          <a:extLst>
            <a:ext uri="{FF2B5EF4-FFF2-40B4-BE49-F238E27FC236}">
              <a16:creationId xmlns:a16="http://schemas.microsoft.com/office/drawing/2014/main" id="{A158EBD7-F719-1FCF-B39E-46BE04152E8B}"/>
            </a:ext>
          </a:extLst>
        </xdr:cNvPr>
        <xdr:cNvGrpSpPr/>
      </xdr:nvGrpSpPr>
      <xdr:grpSpPr>
        <a:xfrm>
          <a:off x="4993986" y="768927"/>
          <a:ext cx="2497964" cy="809159"/>
          <a:chOff x="0" y="812800"/>
          <a:chExt cx="2304000" cy="864000"/>
        </a:xfrm>
      </xdr:grpSpPr>
      <xdr:sp macro="" textlink="">
        <xdr:nvSpPr>
          <xdr:cNvPr id="31" name="Rectangle: Rounded Corners 30">
            <a:extLst>
              <a:ext uri="{FF2B5EF4-FFF2-40B4-BE49-F238E27FC236}">
                <a16:creationId xmlns:a16="http://schemas.microsoft.com/office/drawing/2014/main" id="{EEF40213-B744-6581-1226-14BEE3BEAB01}"/>
              </a:ext>
            </a:extLst>
          </xdr:cNvPr>
          <xdr:cNvSpPr/>
        </xdr:nvSpPr>
        <xdr:spPr>
          <a:xfrm>
            <a:off x="0" y="812800"/>
            <a:ext cx="2304000" cy="864000"/>
          </a:xfrm>
          <a:prstGeom prst="round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32" name="Rectangle: Rounded Corners 31">
            <a:extLst>
              <a:ext uri="{FF2B5EF4-FFF2-40B4-BE49-F238E27FC236}">
                <a16:creationId xmlns:a16="http://schemas.microsoft.com/office/drawing/2014/main" id="{84D7003C-E53E-CB01-FEFB-FB2A23A708B9}"/>
              </a:ext>
            </a:extLst>
          </xdr:cNvPr>
          <xdr:cNvSpPr/>
        </xdr:nvSpPr>
        <xdr:spPr>
          <a:xfrm>
            <a:off x="38100" y="850900"/>
            <a:ext cx="684000" cy="792000"/>
          </a:xfrm>
          <a:prstGeom prst="roundRect">
            <a:avLst/>
          </a:prstGeom>
          <a:solidFill>
            <a:srgbClr val="76B53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rgbClr val="4DB6AC"/>
              </a:solidFill>
            </a:endParaRPr>
          </a:p>
        </xdr:txBody>
      </xdr:sp>
      <xdr:sp macro="" textlink="">
        <xdr:nvSpPr>
          <xdr:cNvPr id="33" name="TextBox 32">
            <a:extLst>
              <a:ext uri="{FF2B5EF4-FFF2-40B4-BE49-F238E27FC236}">
                <a16:creationId xmlns:a16="http://schemas.microsoft.com/office/drawing/2014/main" id="{9ED4DFC0-E866-1367-02A0-CC17E1EB302A}"/>
              </a:ext>
            </a:extLst>
          </xdr:cNvPr>
          <xdr:cNvSpPr txBox="1"/>
        </xdr:nvSpPr>
        <xdr:spPr>
          <a:xfrm>
            <a:off x="838200" y="876300"/>
            <a:ext cx="1276350" cy="2921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baseline="0">
                <a:solidFill>
                  <a:srgbClr val="76B531"/>
                </a:solidFill>
              </a:rPr>
              <a:t>UNITS SOLD</a:t>
            </a:r>
          </a:p>
          <a:p>
            <a:pPr algn="ctr"/>
            <a:endParaRPr lang="en-IN" sz="1050" b="1">
              <a:solidFill>
                <a:srgbClr val="76B531"/>
              </a:solidFill>
            </a:endParaRPr>
          </a:p>
        </xdr:txBody>
      </xdr:sp>
      <xdr:sp macro="" textlink="neat!M4">
        <xdr:nvSpPr>
          <xdr:cNvPr id="34" name="TextBox 33">
            <a:extLst>
              <a:ext uri="{FF2B5EF4-FFF2-40B4-BE49-F238E27FC236}">
                <a16:creationId xmlns:a16="http://schemas.microsoft.com/office/drawing/2014/main" id="{DD12E182-50FB-3A7E-5377-0C81B170D369}"/>
              </a:ext>
            </a:extLst>
          </xdr:cNvPr>
          <xdr:cNvSpPr txBox="1"/>
        </xdr:nvSpPr>
        <xdr:spPr>
          <a:xfrm>
            <a:off x="762000" y="1225550"/>
            <a:ext cx="1428750" cy="3683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5CD2CE4-299B-4AC8-A61F-7567BC6D6885}" type="TxLink">
              <a:rPr lang="en-US" sz="1400" b="1" i="0" u="none" strike="noStrike">
                <a:solidFill>
                  <a:srgbClr val="76B531"/>
                </a:solidFill>
                <a:latin typeface="Calibri"/>
                <a:ea typeface="Calibri"/>
                <a:cs typeface="Calibri"/>
              </a:rPr>
              <a:pPr algn="ctr"/>
              <a:t>1133</a:t>
            </a:fld>
            <a:endParaRPr lang="en-IN" sz="1400" b="1">
              <a:solidFill>
                <a:srgbClr val="76B531"/>
              </a:solidFill>
            </a:endParaRPr>
          </a:p>
        </xdr:txBody>
      </xdr:sp>
    </xdr:grpSp>
    <xdr:clientData/>
  </xdr:twoCellAnchor>
  <xdr:twoCellAnchor>
    <xdr:from>
      <xdr:col>11</xdr:col>
      <xdr:colOff>279400</xdr:colOff>
      <xdr:row>4</xdr:row>
      <xdr:rowOff>76200</xdr:rowOff>
    </xdr:from>
    <xdr:to>
      <xdr:col>15</xdr:col>
      <xdr:colOff>145000</xdr:colOff>
      <xdr:row>9</xdr:row>
      <xdr:rowOff>19450</xdr:rowOff>
    </xdr:to>
    <xdr:grpSp>
      <xdr:nvGrpSpPr>
        <xdr:cNvPr id="35" name="Group 34">
          <a:extLst>
            <a:ext uri="{FF2B5EF4-FFF2-40B4-BE49-F238E27FC236}">
              <a16:creationId xmlns:a16="http://schemas.microsoft.com/office/drawing/2014/main" id="{24366FD5-627A-F08E-B1C0-E82AADAB855C}"/>
            </a:ext>
          </a:extLst>
        </xdr:cNvPr>
        <xdr:cNvGrpSpPr/>
      </xdr:nvGrpSpPr>
      <xdr:grpSpPr>
        <a:xfrm>
          <a:off x="7518400" y="768927"/>
          <a:ext cx="2497964" cy="809159"/>
          <a:chOff x="0" y="812800"/>
          <a:chExt cx="2304000" cy="864000"/>
        </a:xfrm>
      </xdr:grpSpPr>
      <xdr:sp macro="" textlink="">
        <xdr:nvSpPr>
          <xdr:cNvPr id="36" name="Rectangle: Rounded Corners 35">
            <a:extLst>
              <a:ext uri="{FF2B5EF4-FFF2-40B4-BE49-F238E27FC236}">
                <a16:creationId xmlns:a16="http://schemas.microsoft.com/office/drawing/2014/main" id="{62AB3D99-C260-64C5-9633-5FE85C569060}"/>
              </a:ext>
            </a:extLst>
          </xdr:cNvPr>
          <xdr:cNvSpPr/>
        </xdr:nvSpPr>
        <xdr:spPr>
          <a:xfrm>
            <a:off x="0" y="812800"/>
            <a:ext cx="2304000" cy="864000"/>
          </a:xfrm>
          <a:prstGeom prst="round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37" name="Rectangle: Rounded Corners 36">
            <a:extLst>
              <a:ext uri="{FF2B5EF4-FFF2-40B4-BE49-F238E27FC236}">
                <a16:creationId xmlns:a16="http://schemas.microsoft.com/office/drawing/2014/main" id="{55E9D803-6C86-915F-A8FB-9AE39029D5E1}"/>
              </a:ext>
            </a:extLst>
          </xdr:cNvPr>
          <xdr:cNvSpPr/>
        </xdr:nvSpPr>
        <xdr:spPr>
          <a:xfrm>
            <a:off x="38100" y="850900"/>
            <a:ext cx="684000" cy="792000"/>
          </a:xfrm>
          <a:prstGeom prst="roundRect">
            <a:avLst/>
          </a:prstGeom>
          <a:solidFill>
            <a:srgbClr val="76B53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rgbClr val="4DB6AC"/>
              </a:solidFill>
            </a:endParaRPr>
          </a:p>
        </xdr:txBody>
      </xdr:sp>
      <xdr:sp macro="" textlink="">
        <xdr:nvSpPr>
          <xdr:cNvPr id="38" name="TextBox 37">
            <a:extLst>
              <a:ext uri="{FF2B5EF4-FFF2-40B4-BE49-F238E27FC236}">
                <a16:creationId xmlns:a16="http://schemas.microsoft.com/office/drawing/2014/main" id="{6FD12216-7631-1E1F-A293-8ADAD5C8DF44}"/>
              </a:ext>
            </a:extLst>
          </xdr:cNvPr>
          <xdr:cNvSpPr txBox="1"/>
        </xdr:nvSpPr>
        <xdr:spPr>
          <a:xfrm>
            <a:off x="838200" y="876300"/>
            <a:ext cx="1276350" cy="2921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baseline="0">
                <a:solidFill>
                  <a:srgbClr val="76B531"/>
                </a:solidFill>
              </a:rPr>
              <a:t>PROFIT</a:t>
            </a:r>
          </a:p>
          <a:p>
            <a:pPr algn="ctr"/>
            <a:endParaRPr lang="en-IN" sz="1400" b="1" baseline="0">
              <a:solidFill>
                <a:srgbClr val="76B531"/>
              </a:solidFill>
            </a:endParaRPr>
          </a:p>
          <a:p>
            <a:pPr algn="ctr"/>
            <a:endParaRPr lang="en-IN" sz="1050" b="1">
              <a:solidFill>
                <a:srgbClr val="76B531"/>
              </a:solidFill>
            </a:endParaRPr>
          </a:p>
        </xdr:txBody>
      </xdr:sp>
    </xdr:grpSp>
    <xdr:clientData/>
  </xdr:twoCellAnchor>
  <xdr:twoCellAnchor>
    <xdr:from>
      <xdr:col>0</xdr:col>
      <xdr:colOff>0</xdr:colOff>
      <xdr:row>4</xdr:row>
      <xdr:rowOff>82550</xdr:rowOff>
    </xdr:from>
    <xdr:to>
      <xdr:col>3</xdr:col>
      <xdr:colOff>475200</xdr:colOff>
      <xdr:row>9</xdr:row>
      <xdr:rowOff>25800</xdr:rowOff>
    </xdr:to>
    <xdr:grpSp>
      <xdr:nvGrpSpPr>
        <xdr:cNvPr id="41" name="Group 40">
          <a:extLst>
            <a:ext uri="{FF2B5EF4-FFF2-40B4-BE49-F238E27FC236}">
              <a16:creationId xmlns:a16="http://schemas.microsoft.com/office/drawing/2014/main" id="{AE6484B3-E6FE-CDE8-117E-F2A2AC8E4B95}"/>
            </a:ext>
          </a:extLst>
        </xdr:cNvPr>
        <xdr:cNvGrpSpPr/>
      </xdr:nvGrpSpPr>
      <xdr:grpSpPr>
        <a:xfrm>
          <a:off x="0" y="775277"/>
          <a:ext cx="2449473" cy="809159"/>
          <a:chOff x="0" y="812800"/>
          <a:chExt cx="2304000" cy="864000"/>
        </a:xfrm>
      </xdr:grpSpPr>
      <xdr:sp macro="" textlink="">
        <xdr:nvSpPr>
          <xdr:cNvPr id="42" name="Rectangle: Rounded Corners 41">
            <a:extLst>
              <a:ext uri="{FF2B5EF4-FFF2-40B4-BE49-F238E27FC236}">
                <a16:creationId xmlns:a16="http://schemas.microsoft.com/office/drawing/2014/main" id="{D8326226-FA00-81F6-4565-8E2C1934BACB}"/>
              </a:ext>
            </a:extLst>
          </xdr:cNvPr>
          <xdr:cNvSpPr/>
        </xdr:nvSpPr>
        <xdr:spPr>
          <a:xfrm>
            <a:off x="0" y="812800"/>
            <a:ext cx="2304000" cy="864000"/>
          </a:xfrm>
          <a:prstGeom prst="round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3" name="Rectangle: Rounded Corners 42">
            <a:extLst>
              <a:ext uri="{FF2B5EF4-FFF2-40B4-BE49-F238E27FC236}">
                <a16:creationId xmlns:a16="http://schemas.microsoft.com/office/drawing/2014/main" id="{8A796A79-7068-555B-45AC-2029129091D9}"/>
              </a:ext>
            </a:extLst>
          </xdr:cNvPr>
          <xdr:cNvSpPr/>
        </xdr:nvSpPr>
        <xdr:spPr>
          <a:xfrm>
            <a:off x="38100" y="850900"/>
            <a:ext cx="684000" cy="792000"/>
          </a:xfrm>
          <a:prstGeom prst="roundRect">
            <a:avLst/>
          </a:prstGeom>
          <a:solidFill>
            <a:schemeClr val="accent2">
              <a:lumMod val="7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rgbClr val="4DB6AC"/>
              </a:solidFill>
            </a:endParaRPr>
          </a:p>
        </xdr:txBody>
      </xdr:sp>
      <xdr:sp macro="" textlink="">
        <xdr:nvSpPr>
          <xdr:cNvPr id="44" name="TextBox 43">
            <a:extLst>
              <a:ext uri="{FF2B5EF4-FFF2-40B4-BE49-F238E27FC236}">
                <a16:creationId xmlns:a16="http://schemas.microsoft.com/office/drawing/2014/main" id="{97CB6800-0EF2-61C4-590C-70E7F7101B6A}"/>
              </a:ext>
            </a:extLst>
          </xdr:cNvPr>
          <xdr:cNvSpPr txBox="1"/>
        </xdr:nvSpPr>
        <xdr:spPr>
          <a:xfrm>
            <a:off x="838200" y="876300"/>
            <a:ext cx="1276350" cy="2921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rgbClr val="76B531"/>
                </a:solidFill>
                <a:latin typeface="Aptos Narrow" panose="020B0004020202020204" pitchFamily="34" charset="0"/>
              </a:rPr>
              <a:t>TOTAL</a:t>
            </a:r>
            <a:r>
              <a:rPr lang="en-IN" sz="1100" b="1" baseline="0">
                <a:solidFill>
                  <a:srgbClr val="76B531"/>
                </a:solidFill>
                <a:latin typeface="Aptos Narrow" panose="020B0004020202020204" pitchFamily="34" charset="0"/>
              </a:rPr>
              <a:t> SALES</a:t>
            </a:r>
            <a:endParaRPr lang="en-IN" sz="1100" b="1">
              <a:solidFill>
                <a:srgbClr val="76B531"/>
              </a:solidFill>
              <a:latin typeface="Aptos Narrow" panose="020B0004020202020204" pitchFamily="34" charset="0"/>
            </a:endParaRPr>
          </a:p>
        </xdr:txBody>
      </xdr:sp>
      <xdr:sp macro="" textlink="neat!M2">
        <xdr:nvSpPr>
          <xdr:cNvPr id="45" name="TextBox 44">
            <a:extLst>
              <a:ext uri="{FF2B5EF4-FFF2-40B4-BE49-F238E27FC236}">
                <a16:creationId xmlns:a16="http://schemas.microsoft.com/office/drawing/2014/main" id="{CBB6FBED-A54A-BC28-A86A-149C6210D353}"/>
              </a:ext>
            </a:extLst>
          </xdr:cNvPr>
          <xdr:cNvSpPr txBox="1"/>
        </xdr:nvSpPr>
        <xdr:spPr>
          <a:xfrm>
            <a:off x="762000" y="1225550"/>
            <a:ext cx="1428750" cy="3683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A627BFC-1D85-4C38-82F7-6E9AB30D9473}" type="TxLink">
              <a:rPr lang="en-US" sz="1400" b="1" i="0" u="none" strike="noStrike">
                <a:solidFill>
                  <a:srgbClr val="76B531"/>
                </a:solidFill>
                <a:latin typeface="Calibri"/>
                <a:ea typeface="Calibri"/>
                <a:cs typeface="Calibri"/>
              </a:rPr>
              <a:pPr algn="ctr"/>
              <a:t>₹ 3,02,46,800.00</a:t>
            </a:fld>
            <a:endParaRPr lang="en-IN" sz="1400" b="1">
              <a:solidFill>
                <a:srgbClr val="76B531"/>
              </a:solidFill>
            </a:endParaRPr>
          </a:p>
        </xdr:txBody>
      </xdr:sp>
    </xdr:grpSp>
    <xdr:clientData/>
  </xdr:twoCellAnchor>
  <xdr:twoCellAnchor>
    <xdr:from>
      <xdr:col>3</xdr:col>
      <xdr:colOff>495300</xdr:colOff>
      <xdr:row>4</xdr:row>
      <xdr:rowOff>82550</xdr:rowOff>
    </xdr:from>
    <xdr:to>
      <xdr:col>7</xdr:col>
      <xdr:colOff>360900</xdr:colOff>
      <xdr:row>9</xdr:row>
      <xdr:rowOff>25800</xdr:rowOff>
    </xdr:to>
    <xdr:grpSp>
      <xdr:nvGrpSpPr>
        <xdr:cNvPr id="46" name="Group 45">
          <a:extLst>
            <a:ext uri="{FF2B5EF4-FFF2-40B4-BE49-F238E27FC236}">
              <a16:creationId xmlns:a16="http://schemas.microsoft.com/office/drawing/2014/main" id="{050C4EED-12F4-1C02-678E-4714B772D127}"/>
            </a:ext>
          </a:extLst>
        </xdr:cNvPr>
        <xdr:cNvGrpSpPr/>
      </xdr:nvGrpSpPr>
      <xdr:grpSpPr>
        <a:xfrm>
          <a:off x="2469573" y="775277"/>
          <a:ext cx="2497963" cy="809159"/>
          <a:chOff x="0" y="812800"/>
          <a:chExt cx="2304000" cy="864000"/>
        </a:xfrm>
      </xdr:grpSpPr>
      <xdr:sp macro="" textlink="">
        <xdr:nvSpPr>
          <xdr:cNvPr id="47" name="Rectangle: Rounded Corners 46">
            <a:extLst>
              <a:ext uri="{FF2B5EF4-FFF2-40B4-BE49-F238E27FC236}">
                <a16:creationId xmlns:a16="http://schemas.microsoft.com/office/drawing/2014/main" id="{910B2908-CDC3-9CE5-7FAD-AC83F0235BAE}"/>
              </a:ext>
            </a:extLst>
          </xdr:cNvPr>
          <xdr:cNvSpPr/>
        </xdr:nvSpPr>
        <xdr:spPr>
          <a:xfrm>
            <a:off x="0" y="812800"/>
            <a:ext cx="2304000" cy="864000"/>
          </a:xfrm>
          <a:prstGeom prst="round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8" name="Rectangle: Rounded Corners 47">
            <a:extLst>
              <a:ext uri="{FF2B5EF4-FFF2-40B4-BE49-F238E27FC236}">
                <a16:creationId xmlns:a16="http://schemas.microsoft.com/office/drawing/2014/main" id="{442948D2-7074-06CC-99C0-287966DF5769}"/>
              </a:ext>
            </a:extLst>
          </xdr:cNvPr>
          <xdr:cNvSpPr/>
        </xdr:nvSpPr>
        <xdr:spPr>
          <a:xfrm>
            <a:off x="38100" y="850900"/>
            <a:ext cx="684000" cy="792000"/>
          </a:xfrm>
          <a:prstGeom prst="roundRect">
            <a:avLst/>
          </a:prstGeom>
          <a:solidFill>
            <a:schemeClr val="accent2">
              <a:lumMod val="7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rgbClr val="4DB6AC"/>
              </a:solidFill>
            </a:endParaRPr>
          </a:p>
        </xdr:txBody>
      </xdr:sp>
      <xdr:sp macro="" textlink="">
        <xdr:nvSpPr>
          <xdr:cNvPr id="49" name="TextBox 48">
            <a:extLst>
              <a:ext uri="{FF2B5EF4-FFF2-40B4-BE49-F238E27FC236}">
                <a16:creationId xmlns:a16="http://schemas.microsoft.com/office/drawing/2014/main" id="{95FD3FB5-F690-A98B-17CA-A8D3F2D7C345}"/>
              </a:ext>
            </a:extLst>
          </xdr:cNvPr>
          <xdr:cNvSpPr txBox="1"/>
        </xdr:nvSpPr>
        <xdr:spPr>
          <a:xfrm>
            <a:off x="838200" y="876300"/>
            <a:ext cx="1276350" cy="2921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rgbClr val="76B531"/>
                </a:solidFill>
              </a:rPr>
              <a:t>AVERAGE</a:t>
            </a:r>
            <a:r>
              <a:rPr lang="en-IN" sz="1200" b="1" baseline="0">
                <a:solidFill>
                  <a:srgbClr val="76B531"/>
                </a:solidFill>
              </a:rPr>
              <a:t> SALES</a:t>
            </a:r>
          </a:p>
          <a:p>
            <a:pPr algn="ctr"/>
            <a:endParaRPr lang="en-IN" sz="1050" b="1">
              <a:solidFill>
                <a:srgbClr val="76B531"/>
              </a:solidFill>
            </a:endParaRPr>
          </a:p>
        </xdr:txBody>
      </xdr:sp>
      <xdr:sp macro="" textlink="neat!M8">
        <xdr:nvSpPr>
          <xdr:cNvPr id="50" name="TextBox 49">
            <a:extLst>
              <a:ext uri="{FF2B5EF4-FFF2-40B4-BE49-F238E27FC236}">
                <a16:creationId xmlns:a16="http://schemas.microsoft.com/office/drawing/2014/main" id="{D456199F-C37A-2920-478D-5A27C35C9F2F}"/>
              </a:ext>
            </a:extLst>
          </xdr:cNvPr>
          <xdr:cNvSpPr txBox="1"/>
        </xdr:nvSpPr>
        <xdr:spPr>
          <a:xfrm>
            <a:off x="762000" y="1225550"/>
            <a:ext cx="1428750" cy="3683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9182A37-0239-42A2-9229-62AA7C5EC042}" type="TxLink">
              <a:rPr lang="en-US" sz="1400" b="1" i="0" u="none" strike="noStrike">
                <a:solidFill>
                  <a:srgbClr val="76B531"/>
                </a:solidFill>
                <a:latin typeface="Calibri"/>
                <a:ea typeface="Calibri"/>
                <a:cs typeface="Calibri"/>
              </a:rPr>
              <a:pPr algn="ctr"/>
              <a:t>₹ 3,05,523.23</a:t>
            </a:fld>
            <a:endParaRPr lang="en-IN" sz="1800" b="1" i="0" u="none" strike="noStrike">
              <a:solidFill>
                <a:srgbClr val="76B531"/>
              </a:solidFill>
              <a:latin typeface="Calibri"/>
              <a:ea typeface="Calibri"/>
              <a:cs typeface="Calibri"/>
            </a:endParaRPr>
          </a:p>
        </xdr:txBody>
      </xdr:sp>
    </xdr:grpSp>
    <xdr:clientData/>
  </xdr:twoCellAnchor>
  <xdr:twoCellAnchor>
    <xdr:from>
      <xdr:col>7</xdr:col>
      <xdr:colOff>387350</xdr:colOff>
      <xdr:row>4</xdr:row>
      <xdr:rowOff>82550</xdr:rowOff>
    </xdr:from>
    <xdr:to>
      <xdr:col>11</xdr:col>
      <xdr:colOff>252950</xdr:colOff>
      <xdr:row>9</xdr:row>
      <xdr:rowOff>25800</xdr:rowOff>
    </xdr:to>
    <xdr:grpSp>
      <xdr:nvGrpSpPr>
        <xdr:cNvPr id="51" name="Group 50">
          <a:extLst>
            <a:ext uri="{FF2B5EF4-FFF2-40B4-BE49-F238E27FC236}">
              <a16:creationId xmlns:a16="http://schemas.microsoft.com/office/drawing/2014/main" id="{09CF15CE-4175-FDF9-9A59-874A861C4748}"/>
            </a:ext>
          </a:extLst>
        </xdr:cNvPr>
        <xdr:cNvGrpSpPr/>
      </xdr:nvGrpSpPr>
      <xdr:grpSpPr>
        <a:xfrm>
          <a:off x="4993986" y="775277"/>
          <a:ext cx="2497964" cy="809159"/>
          <a:chOff x="0" y="812800"/>
          <a:chExt cx="2304000" cy="864000"/>
        </a:xfrm>
      </xdr:grpSpPr>
      <xdr:sp macro="" textlink="">
        <xdr:nvSpPr>
          <xdr:cNvPr id="52" name="Rectangle: Rounded Corners 51">
            <a:extLst>
              <a:ext uri="{FF2B5EF4-FFF2-40B4-BE49-F238E27FC236}">
                <a16:creationId xmlns:a16="http://schemas.microsoft.com/office/drawing/2014/main" id="{AB0DB14A-0127-AB1F-84AD-04CE1655A21F}"/>
              </a:ext>
            </a:extLst>
          </xdr:cNvPr>
          <xdr:cNvSpPr/>
        </xdr:nvSpPr>
        <xdr:spPr>
          <a:xfrm>
            <a:off x="0" y="812800"/>
            <a:ext cx="2304000" cy="864000"/>
          </a:xfrm>
          <a:prstGeom prst="round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53" name="Rectangle: Rounded Corners 52">
            <a:extLst>
              <a:ext uri="{FF2B5EF4-FFF2-40B4-BE49-F238E27FC236}">
                <a16:creationId xmlns:a16="http://schemas.microsoft.com/office/drawing/2014/main" id="{EC17E57B-F0B1-F5BF-D557-C6E82886D6BA}"/>
              </a:ext>
            </a:extLst>
          </xdr:cNvPr>
          <xdr:cNvSpPr/>
        </xdr:nvSpPr>
        <xdr:spPr>
          <a:xfrm>
            <a:off x="38100" y="850900"/>
            <a:ext cx="684000" cy="792000"/>
          </a:xfrm>
          <a:prstGeom prst="roundRect">
            <a:avLst/>
          </a:prstGeom>
          <a:solidFill>
            <a:schemeClr val="accent2">
              <a:lumMod val="7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accent1">
                  <a:lumMod val="50000"/>
                </a:schemeClr>
              </a:solidFill>
            </a:endParaRPr>
          </a:p>
        </xdr:txBody>
      </xdr:sp>
      <xdr:sp macro="" textlink="">
        <xdr:nvSpPr>
          <xdr:cNvPr id="54" name="TextBox 53">
            <a:extLst>
              <a:ext uri="{FF2B5EF4-FFF2-40B4-BE49-F238E27FC236}">
                <a16:creationId xmlns:a16="http://schemas.microsoft.com/office/drawing/2014/main" id="{A6862460-9D6F-9600-7D1A-169355D2321B}"/>
              </a:ext>
            </a:extLst>
          </xdr:cNvPr>
          <xdr:cNvSpPr txBox="1"/>
        </xdr:nvSpPr>
        <xdr:spPr>
          <a:xfrm>
            <a:off x="838200" y="876300"/>
            <a:ext cx="1276350" cy="2921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baseline="0">
                <a:solidFill>
                  <a:srgbClr val="76B531"/>
                </a:solidFill>
              </a:rPr>
              <a:t>UNITS SOLD</a:t>
            </a:r>
          </a:p>
          <a:p>
            <a:pPr algn="ctr"/>
            <a:endParaRPr lang="en-IN" sz="1050" b="1">
              <a:solidFill>
                <a:srgbClr val="76B531"/>
              </a:solidFill>
            </a:endParaRPr>
          </a:p>
        </xdr:txBody>
      </xdr:sp>
      <xdr:sp macro="" textlink="neat!M4">
        <xdr:nvSpPr>
          <xdr:cNvPr id="55" name="TextBox 54">
            <a:extLst>
              <a:ext uri="{FF2B5EF4-FFF2-40B4-BE49-F238E27FC236}">
                <a16:creationId xmlns:a16="http://schemas.microsoft.com/office/drawing/2014/main" id="{B94CE5AF-0B36-DBFE-A142-14A9AC5E0620}"/>
              </a:ext>
            </a:extLst>
          </xdr:cNvPr>
          <xdr:cNvSpPr txBox="1"/>
        </xdr:nvSpPr>
        <xdr:spPr>
          <a:xfrm>
            <a:off x="762000" y="1225550"/>
            <a:ext cx="1428750" cy="3683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5CD2CE4-299B-4AC8-A61F-7567BC6D6885}" type="TxLink">
              <a:rPr lang="en-US" sz="1400" b="1" i="0" u="none" strike="noStrike">
                <a:solidFill>
                  <a:srgbClr val="76B531"/>
                </a:solidFill>
                <a:latin typeface="Calibri"/>
                <a:ea typeface="Calibri"/>
                <a:cs typeface="Calibri"/>
              </a:rPr>
              <a:pPr algn="ctr"/>
              <a:t>1133</a:t>
            </a:fld>
            <a:endParaRPr lang="en-IN" sz="1400" b="1">
              <a:solidFill>
                <a:srgbClr val="76B531"/>
              </a:solidFill>
            </a:endParaRPr>
          </a:p>
        </xdr:txBody>
      </xdr:sp>
    </xdr:grpSp>
    <xdr:clientData/>
  </xdr:twoCellAnchor>
  <xdr:twoCellAnchor>
    <xdr:from>
      <xdr:col>11</xdr:col>
      <xdr:colOff>279400</xdr:colOff>
      <xdr:row>4</xdr:row>
      <xdr:rowOff>82550</xdr:rowOff>
    </xdr:from>
    <xdr:to>
      <xdr:col>15</xdr:col>
      <xdr:colOff>145000</xdr:colOff>
      <xdr:row>9</xdr:row>
      <xdr:rowOff>25800</xdr:rowOff>
    </xdr:to>
    <xdr:grpSp>
      <xdr:nvGrpSpPr>
        <xdr:cNvPr id="56" name="Group 55">
          <a:extLst>
            <a:ext uri="{FF2B5EF4-FFF2-40B4-BE49-F238E27FC236}">
              <a16:creationId xmlns:a16="http://schemas.microsoft.com/office/drawing/2014/main" id="{3BC33637-463A-0DDF-E013-15CE5B52935E}"/>
            </a:ext>
          </a:extLst>
        </xdr:cNvPr>
        <xdr:cNvGrpSpPr/>
      </xdr:nvGrpSpPr>
      <xdr:grpSpPr>
        <a:xfrm>
          <a:off x="7518400" y="775277"/>
          <a:ext cx="2497964" cy="809159"/>
          <a:chOff x="0" y="812800"/>
          <a:chExt cx="2304000" cy="864000"/>
        </a:xfrm>
        <a:solidFill>
          <a:srgbClr val="F5F7F9"/>
        </a:solidFill>
      </xdr:grpSpPr>
      <xdr:sp macro="" textlink="">
        <xdr:nvSpPr>
          <xdr:cNvPr id="57" name="Rectangle: Rounded Corners 56">
            <a:extLst>
              <a:ext uri="{FF2B5EF4-FFF2-40B4-BE49-F238E27FC236}">
                <a16:creationId xmlns:a16="http://schemas.microsoft.com/office/drawing/2014/main" id="{D28CD824-6F79-98E9-8462-9E1A97B97ED8}"/>
              </a:ext>
            </a:extLst>
          </xdr:cNvPr>
          <xdr:cNvSpPr/>
        </xdr:nvSpPr>
        <xdr:spPr>
          <a:xfrm>
            <a:off x="0" y="812800"/>
            <a:ext cx="2304000" cy="864000"/>
          </a:xfrm>
          <a:prstGeom prst="round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58" name="Rectangle: Rounded Corners 57">
            <a:extLst>
              <a:ext uri="{FF2B5EF4-FFF2-40B4-BE49-F238E27FC236}">
                <a16:creationId xmlns:a16="http://schemas.microsoft.com/office/drawing/2014/main" id="{5EF45785-436E-9770-3105-DD7781F969D0}"/>
              </a:ext>
            </a:extLst>
          </xdr:cNvPr>
          <xdr:cNvSpPr/>
        </xdr:nvSpPr>
        <xdr:spPr>
          <a:xfrm>
            <a:off x="38100" y="850900"/>
            <a:ext cx="684000" cy="792000"/>
          </a:xfrm>
          <a:prstGeom prst="roundRect">
            <a:avLst/>
          </a:prstGeom>
          <a:solidFill>
            <a:schemeClr val="accent2">
              <a:lumMod val="7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accent2">
                  <a:lumMod val="75000"/>
                </a:schemeClr>
              </a:solidFill>
            </a:endParaRPr>
          </a:p>
        </xdr:txBody>
      </xdr:sp>
      <xdr:sp macro="" textlink="">
        <xdr:nvSpPr>
          <xdr:cNvPr id="59" name="TextBox 58">
            <a:extLst>
              <a:ext uri="{FF2B5EF4-FFF2-40B4-BE49-F238E27FC236}">
                <a16:creationId xmlns:a16="http://schemas.microsoft.com/office/drawing/2014/main" id="{57AF4272-C5EA-1BA2-1E23-7BB6F88B2184}"/>
              </a:ext>
            </a:extLst>
          </xdr:cNvPr>
          <xdr:cNvSpPr txBox="1"/>
        </xdr:nvSpPr>
        <xdr:spPr>
          <a:xfrm>
            <a:off x="838200" y="876300"/>
            <a:ext cx="1276350" cy="2921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baseline="0">
                <a:solidFill>
                  <a:srgbClr val="76B531"/>
                </a:solidFill>
              </a:rPr>
              <a:t>PROFIT</a:t>
            </a:r>
          </a:p>
          <a:p>
            <a:pPr algn="ctr"/>
            <a:endParaRPr lang="en-IN" sz="1400" b="1" baseline="0">
              <a:solidFill>
                <a:srgbClr val="76B531"/>
              </a:solidFill>
            </a:endParaRPr>
          </a:p>
          <a:p>
            <a:pPr algn="ctr"/>
            <a:endParaRPr lang="en-IN" sz="1050" b="1">
              <a:solidFill>
                <a:srgbClr val="76B531"/>
              </a:solidFill>
            </a:endParaRPr>
          </a:p>
        </xdr:txBody>
      </xdr:sp>
    </xdr:grpSp>
    <xdr:clientData/>
  </xdr:twoCellAnchor>
  <xdr:twoCellAnchor editAs="oneCell">
    <xdr:from>
      <xdr:col>0</xdr:col>
      <xdr:colOff>31750</xdr:colOff>
      <xdr:row>4</xdr:row>
      <xdr:rowOff>114300</xdr:rowOff>
    </xdr:from>
    <xdr:to>
      <xdr:col>1</xdr:col>
      <xdr:colOff>52732</xdr:colOff>
      <xdr:row>8</xdr:row>
      <xdr:rowOff>63500</xdr:rowOff>
    </xdr:to>
    <xdr:pic>
      <xdr:nvPicPr>
        <xdr:cNvPr id="70" name="Graphic 69" descr="Money with solid fill">
          <a:extLst>
            <a:ext uri="{FF2B5EF4-FFF2-40B4-BE49-F238E27FC236}">
              <a16:creationId xmlns:a16="http://schemas.microsoft.com/office/drawing/2014/main" id="{2478CE04-C9EF-D035-3C59-81759811BAE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1750" y="850900"/>
          <a:ext cx="685800" cy="685800"/>
        </a:xfrm>
        <a:prstGeom prst="rect">
          <a:avLst/>
        </a:prstGeom>
      </xdr:spPr>
    </xdr:pic>
    <xdr:clientData/>
  </xdr:twoCellAnchor>
  <xdr:twoCellAnchor editAs="oneCell">
    <xdr:from>
      <xdr:col>11</xdr:col>
      <xdr:colOff>298450</xdr:colOff>
      <xdr:row>4</xdr:row>
      <xdr:rowOff>133350</xdr:rowOff>
    </xdr:from>
    <xdr:to>
      <xdr:col>12</xdr:col>
      <xdr:colOff>313084</xdr:colOff>
      <xdr:row>8</xdr:row>
      <xdr:rowOff>76200</xdr:rowOff>
    </xdr:to>
    <xdr:pic>
      <xdr:nvPicPr>
        <xdr:cNvPr id="79" name="Graphic 78" descr="Upward trend with solid fill">
          <a:extLst>
            <a:ext uri="{FF2B5EF4-FFF2-40B4-BE49-F238E27FC236}">
              <a16:creationId xmlns:a16="http://schemas.microsoft.com/office/drawing/2014/main" id="{5803DF89-1B5C-1837-1CD0-5D3C30800D3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004050" y="869950"/>
          <a:ext cx="679450" cy="679450"/>
        </a:xfrm>
        <a:prstGeom prst="rect">
          <a:avLst/>
        </a:prstGeom>
      </xdr:spPr>
    </xdr:pic>
    <xdr:clientData/>
  </xdr:twoCellAnchor>
  <xdr:twoCellAnchor editAs="oneCell">
    <xdr:from>
      <xdr:col>3</xdr:col>
      <xdr:colOff>533400</xdr:colOff>
      <xdr:row>4</xdr:row>
      <xdr:rowOff>146050</xdr:rowOff>
    </xdr:from>
    <xdr:to>
      <xdr:col>4</xdr:col>
      <xdr:colOff>564874</xdr:colOff>
      <xdr:row>8</xdr:row>
      <xdr:rowOff>107950</xdr:rowOff>
    </xdr:to>
    <xdr:pic>
      <xdr:nvPicPr>
        <xdr:cNvPr id="81" name="Graphic 80" descr="Shopping cart with solid fill">
          <a:extLst>
            <a:ext uri="{FF2B5EF4-FFF2-40B4-BE49-F238E27FC236}">
              <a16:creationId xmlns:a16="http://schemas.microsoft.com/office/drawing/2014/main" id="{57E03899-0F56-93C2-3E98-3AAE020559F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362200" y="882650"/>
          <a:ext cx="698500" cy="698500"/>
        </a:xfrm>
        <a:prstGeom prst="rect">
          <a:avLst/>
        </a:prstGeom>
      </xdr:spPr>
    </xdr:pic>
    <xdr:clientData/>
  </xdr:twoCellAnchor>
  <xdr:twoCellAnchor editAs="oneCell">
    <xdr:from>
      <xdr:col>7</xdr:col>
      <xdr:colOff>450850</xdr:colOff>
      <xdr:row>4</xdr:row>
      <xdr:rowOff>165100</xdr:rowOff>
    </xdr:from>
    <xdr:to>
      <xdr:col>8</xdr:col>
      <xdr:colOff>440082</xdr:colOff>
      <xdr:row>8</xdr:row>
      <xdr:rowOff>82550</xdr:rowOff>
    </xdr:to>
    <xdr:pic>
      <xdr:nvPicPr>
        <xdr:cNvPr id="83" name="Graphic 82" descr="Truck with solid fill">
          <a:extLst>
            <a:ext uri="{FF2B5EF4-FFF2-40B4-BE49-F238E27FC236}">
              <a16:creationId xmlns:a16="http://schemas.microsoft.com/office/drawing/2014/main" id="{AA7FBC15-54B7-A6BC-9307-149123A9C97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718050" y="901700"/>
          <a:ext cx="654050" cy="654050"/>
        </a:xfrm>
        <a:prstGeom prst="rect">
          <a:avLst/>
        </a:prstGeom>
      </xdr:spPr>
    </xdr:pic>
    <xdr:clientData/>
  </xdr:twoCellAnchor>
  <xdr:twoCellAnchor editAs="oneCell">
    <xdr:from>
      <xdr:col>15</xdr:col>
      <xdr:colOff>195392</xdr:colOff>
      <xdr:row>4</xdr:row>
      <xdr:rowOff>72160</xdr:rowOff>
    </xdr:from>
    <xdr:to>
      <xdr:col>22</xdr:col>
      <xdr:colOff>96631</xdr:colOff>
      <xdr:row>9</xdr:row>
      <xdr:rowOff>25801</xdr:rowOff>
    </xdr:to>
    <mc:AlternateContent xmlns:mc="http://schemas.openxmlformats.org/markup-compatibility/2006" xmlns:a14="http://schemas.microsoft.com/office/drawing/2010/main">
      <mc:Choice Requires="a14">
        <xdr:graphicFrame macro="">
          <xdr:nvGraphicFramePr>
            <xdr:cNvPr id="84" name="Region 1">
              <a:extLst>
                <a:ext uri="{FF2B5EF4-FFF2-40B4-BE49-F238E27FC236}">
                  <a16:creationId xmlns:a16="http://schemas.microsoft.com/office/drawing/2014/main" id="{AADE797A-D6A4-44A2-BBB7-A6749DD7CC5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331616" y="839414"/>
              <a:ext cx="4107058" cy="8192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33</xdr:row>
      <xdr:rowOff>27214</xdr:rowOff>
    </xdr:from>
    <xdr:to>
      <xdr:col>2</xdr:col>
      <xdr:colOff>496957</xdr:colOff>
      <xdr:row>44</xdr:row>
      <xdr:rowOff>63499</xdr:rowOff>
    </xdr:to>
    <mc:AlternateContent xmlns:mc="http://schemas.openxmlformats.org/markup-compatibility/2006" xmlns:a14="http://schemas.microsoft.com/office/drawing/2010/main">
      <mc:Choice Requires="a14">
        <xdr:graphicFrame macro="">
          <xdr:nvGraphicFramePr>
            <xdr:cNvPr id="87" name="Salesperson 1">
              <a:extLst>
                <a:ext uri="{FF2B5EF4-FFF2-40B4-BE49-F238E27FC236}">
                  <a16:creationId xmlns:a16="http://schemas.microsoft.com/office/drawing/2014/main" id="{B72F7C5D-15BF-4DD5-8096-0829F716136A}"/>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0" y="6014357"/>
              <a:ext cx="1827245" cy="2031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9072</xdr:colOff>
      <xdr:row>20</xdr:row>
      <xdr:rowOff>81643</xdr:rowOff>
    </xdr:from>
    <xdr:to>
      <xdr:col>2</xdr:col>
      <xdr:colOff>506029</xdr:colOff>
      <xdr:row>33</xdr:row>
      <xdr:rowOff>0</xdr:rowOff>
    </xdr:to>
    <mc:AlternateContent xmlns:mc="http://schemas.openxmlformats.org/markup-compatibility/2006" xmlns:a14="http://schemas.microsoft.com/office/drawing/2010/main">
      <mc:Choice Requires="a14">
        <xdr:graphicFrame macro="">
          <xdr:nvGraphicFramePr>
            <xdr:cNvPr id="88" name="Product 1">
              <a:extLst>
                <a:ext uri="{FF2B5EF4-FFF2-40B4-BE49-F238E27FC236}">
                  <a16:creationId xmlns:a16="http://schemas.microsoft.com/office/drawing/2014/main" id="{1AB3112D-47FF-464E-92D5-45226EB24458}"/>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9072" y="3710214"/>
              <a:ext cx="1827245" cy="22769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546677</xdr:colOff>
      <xdr:row>9</xdr:row>
      <xdr:rowOff>69909</xdr:rowOff>
    </xdr:from>
    <xdr:to>
      <xdr:col>13</xdr:col>
      <xdr:colOff>364437</xdr:colOff>
      <xdr:row>27</xdr:row>
      <xdr:rowOff>125131</xdr:rowOff>
    </xdr:to>
    <xdr:sp macro="" textlink="">
      <xdr:nvSpPr>
        <xdr:cNvPr id="91" name="Rectangle: Rounded Corners 90">
          <a:extLst>
            <a:ext uri="{FF2B5EF4-FFF2-40B4-BE49-F238E27FC236}">
              <a16:creationId xmlns:a16="http://schemas.microsoft.com/office/drawing/2014/main" id="{8F998EA7-5240-64EA-B212-41CEB357FD64}"/>
            </a:ext>
          </a:extLst>
        </xdr:cNvPr>
        <xdr:cNvSpPr/>
      </xdr:nvSpPr>
      <xdr:spPr>
        <a:xfrm>
          <a:off x="1871894" y="1685018"/>
          <a:ext cx="7106456" cy="3285439"/>
        </a:xfrm>
        <a:custGeom>
          <a:avLst/>
          <a:gdLst>
            <a:gd name="csX0" fmla="*/ 0 w 6685643"/>
            <a:gd name="csY0" fmla="*/ 563182 h 3379025"/>
            <a:gd name="csX1" fmla="*/ 563182 w 6685643"/>
            <a:gd name="csY1" fmla="*/ 0 h 3379025"/>
            <a:gd name="csX2" fmla="*/ 6122461 w 6685643"/>
            <a:gd name="csY2" fmla="*/ 0 h 3379025"/>
            <a:gd name="csX3" fmla="*/ 6685643 w 6685643"/>
            <a:gd name="csY3" fmla="*/ 563182 h 3379025"/>
            <a:gd name="csX4" fmla="*/ 6685643 w 6685643"/>
            <a:gd name="csY4" fmla="*/ 2815843 h 3379025"/>
            <a:gd name="csX5" fmla="*/ 6122461 w 6685643"/>
            <a:gd name="csY5" fmla="*/ 3379025 h 3379025"/>
            <a:gd name="csX6" fmla="*/ 563182 w 6685643"/>
            <a:gd name="csY6" fmla="*/ 3379025 h 3379025"/>
            <a:gd name="csX7" fmla="*/ 0 w 6685643"/>
            <a:gd name="csY7" fmla="*/ 2815843 h 3379025"/>
            <a:gd name="csX8" fmla="*/ 0 w 6685643"/>
            <a:gd name="csY8" fmla="*/ 563182 h 3379025"/>
            <a:gd name="csX0" fmla="*/ 1479 w 6687122"/>
            <a:gd name="csY0" fmla="*/ 563182 h 3379025"/>
            <a:gd name="csX1" fmla="*/ 274375 w 6687122"/>
            <a:gd name="csY1" fmla="*/ 0 h 3379025"/>
            <a:gd name="csX2" fmla="*/ 6123940 w 6687122"/>
            <a:gd name="csY2" fmla="*/ 0 h 3379025"/>
            <a:gd name="csX3" fmla="*/ 6687122 w 6687122"/>
            <a:gd name="csY3" fmla="*/ 563182 h 3379025"/>
            <a:gd name="csX4" fmla="*/ 6687122 w 6687122"/>
            <a:gd name="csY4" fmla="*/ 2815843 h 3379025"/>
            <a:gd name="csX5" fmla="*/ 6123940 w 6687122"/>
            <a:gd name="csY5" fmla="*/ 3379025 h 3379025"/>
            <a:gd name="csX6" fmla="*/ 564661 w 6687122"/>
            <a:gd name="csY6" fmla="*/ 3379025 h 3379025"/>
            <a:gd name="csX7" fmla="*/ 1479 w 6687122"/>
            <a:gd name="csY7" fmla="*/ 2815843 h 3379025"/>
            <a:gd name="csX8" fmla="*/ 1479 w 6687122"/>
            <a:gd name="csY8" fmla="*/ 563182 h 3379025"/>
            <a:gd name="csX0" fmla="*/ 1479 w 6687122"/>
            <a:gd name="csY0" fmla="*/ 563182 h 3379025"/>
            <a:gd name="csX1" fmla="*/ 274375 w 6687122"/>
            <a:gd name="csY1" fmla="*/ 0 h 3379025"/>
            <a:gd name="csX2" fmla="*/ 6350726 w 6687122"/>
            <a:gd name="csY2" fmla="*/ 9071 h 3379025"/>
            <a:gd name="csX3" fmla="*/ 6687122 w 6687122"/>
            <a:gd name="csY3" fmla="*/ 563182 h 3379025"/>
            <a:gd name="csX4" fmla="*/ 6687122 w 6687122"/>
            <a:gd name="csY4" fmla="*/ 2815843 h 3379025"/>
            <a:gd name="csX5" fmla="*/ 6123940 w 6687122"/>
            <a:gd name="csY5" fmla="*/ 3379025 h 3379025"/>
            <a:gd name="csX6" fmla="*/ 564661 w 6687122"/>
            <a:gd name="csY6" fmla="*/ 3379025 h 3379025"/>
            <a:gd name="csX7" fmla="*/ 1479 w 6687122"/>
            <a:gd name="csY7" fmla="*/ 2815843 h 3379025"/>
            <a:gd name="csX8" fmla="*/ 1479 w 6687122"/>
            <a:gd name="csY8" fmla="*/ 563182 h 3379025"/>
            <a:gd name="csX0" fmla="*/ 1479 w 6687122"/>
            <a:gd name="csY0" fmla="*/ 563182 h 3398170"/>
            <a:gd name="csX1" fmla="*/ 274375 w 6687122"/>
            <a:gd name="csY1" fmla="*/ 0 h 3398170"/>
            <a:gd name="csX2" fmla="*/ 6350726 w 6687122"/>
            <a:gd name="csY2" fmla="*/ 9071 h 3398170"/>
            <a:gd name="csX3" fmla="*/ 6687122 w 6687122"/>
            <a:gd name="csY3" fmla="*/ 563182 h 3398170"/>
            <a:gd name="csX4" fmla="*/ 6605479 w 6687122"/>
            <a:gd name="csY4" fmla="*/ 3178700 h 3398170"/>
            <a:gd name="csX5" fmla="*/ 6123940 w 6687122"/>
            <a:gd name="csY5" fmla="*/ 3379025 h 3398170"/>
            <a:gd name="csX6" fmla="*/ 564661 w 6687122"/>
            <a:gd name="csY6" fmla="*/ 3379025 h 3398170"/>
            <a:gd name="csX7" fmla="*/ 1479 w 6687122"/>
            <a:gd name="csY7" fmla="*/ 2815843 h 3398170"/>
            <a:gd name="csX8" fmla="*/ 1479 w 6687122"/>
            <a:gd name="csY8" fmla="*/ 563182 h 3398170"/>
            <a:gd name="csX0" fmla="*/ 1479 w 6687122"/>
            <a:gd name="csY0" fmla="*/ 563182 h 3379025"/>
            <a:gd name="csX1" fmla="*/ 274375 w 6687122"/>
            <a:gd name="csY1" fmla="*/ 0 h 3379025"/>
            <a:gd name="csX2" fmla="*/ 6350726 w 6687122"/>
            <a:gd name="csY2" fmla="*/ 9071 h 3379025"/>
            <a:gd name="csX3" fmla="*/ 6687122 w 6687122"/>
            <a:gd name="csY3" fmla="*/ 563182 h 3379025"/>
            <a:gd name="csX4" fmla="*/ 6614589 w 6687122"/>
            <a:gd name="csY4" fmla="*/ 2984841 h 3379025"/>
            <a:gd name="csX5" fmla="*/ 6123940 w 6687122"/>
            <a:gd name="csY5" fmla="*/ 3379025 h 3379025"/>
            <a:gd name="csX6" fmla="*/ 564661 w 6687122"/>
            <a:gd name="csY6" fmla="*/ 3379025 h 3379025"/>
            <a:gd name="csX7" fmla="*/ 1479 w 6687122"/>
            <a:gd name="csY7" fmla="*/ 2815843 h 3379025"/>
            <a:gd name="csX8" fmla="*/ 1479 w 6687122"/>
            <a:gd name="csY8" fmla="*/ 563182 h 3379025"/>
            <a:gd name="csX0" fmla="*/ 1479 w 6687122"/>
            <a:gd name="csY0" fmla="*/ 563182 h 3379025"/>
            <a:gd name="csX1" fmla="*/ 274375 w 6687122"/>
            <a:gd name="csY1" fmla="*/ 0 h 3379025"/>
            <a:gd name="csX2" fmla="*/ 6350726 w 6687122"/>
            <a:gd name="csY2" fmla="*/ 9071 h 3379025"/>
            <a:gd name="csX3" fmla="*/ 6687122 w 6687122"/>
            <a:gd name="csY3" fmla="*/ 563182 h 3379025"/>
            <a:gd name="csX4" fmla="*/ 6614589 w 6687122"/>
            <a:gd name="csY4" fmla="*/ 2984841 h 3379025"/>
            <a:gd name="csX5" fmla="*/ 6324327 w 6687122"/>
            <a:gd name="csY5" fmla="*/ 3379025 h 3379025"/>
            <a:gd name="csX6" fmla="*/ 564661 w 6687122"/>
            <a:gd name="csY6" fmla="*/ 3379025 h 3379025"/>
            <a:gd name="csX7" fmla="*/ 1479 w 6687122"/>
            <a:gd name="csY7" fmla="*/ 2815843 h 3379025"/>
            <a:gd name="csX8" fmla="*/ 1479 w 6687122"/>
            <a:gd name="csY8" fmla="*/ 563182 h 3379025"/>
            <a:gd name="csX0" fmla="*/ 1479 w 6687122"/>
            <a:gd name="csY0" fmla="*/ 563182 h 3379025"/>
            <a:gd name="csX1" fmla="*/ 274375 w 6687122"/>
            <a:gd name="csY1" fmla="*/ 0 h 3379025"/>
            <a:gd name="csX2" fmla="*/ 6268749 w 6687122"/>
            <a:gd name="csY2" fmla="*/ 9071 h 3379025"/>
            <a:gd name="csX3" fmla="*/ 6687122 w 6687122"/>
            <a:gd name="csY3" fmla="*/ 563182 h 3379025"/>
            <a:gd name="csX4" fmla="*/ 6614589 w 6687122"/>
            <a:gd name="csY4" fmla="*/ 2984841 h 3379025"/>
            <a:gd name="csX5" fmla="*/ 6324327 w 6687122"/>
            <a:gd name="csY5" fmla="*/ 3379025 h 3379025"/>
            <a:gd name="csX6" fmla="*/ 564661 w 6687122"/>
            <a:gd name="csY6" fmla="*/ 3379025 h 3379025"/>
            <a:gd name="csX7" fmla="*/ 1479 w 6687122"/>
            <a:gd name="csY7" fmla="*/ 2815843 h 3379025"/>
            <a:gd name="csX8" fmla="*/ 1479 w 6687122"/>
            <a:gd name="csY8" fmla="*/ 563182 h 3379025"/>
            <a:gd name="csX0" fmla="*/ 1479 w 6614877"/>
            <a:gd name="csY0" fmla="*/ 563182 h 3379025"/>
            <a:gd name="csX1" fmla="*/ 274375 w 6614877"/>
            <a:gd name="csY1" fmla="*/ 0 h 3379025"/>
            <a:gd name="csX2" fmla="*/ 6268749 w 6614877"/>
            <a:gd name="csY2" fmla="*/ 9071 h 3379025"/>
            <a:gd name="csX3" fmla="*/ 6614254 w 6614877"/>
            <a:gd name="csY3" fmla="*/ 544719 h 3379025"/>
            <a:gd name="csX4" fmla="*/ 6614589 w 6614877"/>
            <a:gd name="csY4" fmla="*/ 2984841 h 3379025"/>
            <a:gd name="csX5" fmla="*/ 6324327 w 6614877"/>
            <a:gd name="csY5" fmla="*/ 3379025 h 3379025"/>
            <a:gd name="csX6" fmla="*/ 564661 w 6614877"/>
            <a:gd name="csY6" fmla="*/ 3379025 h 3379025"/>
            <a:gd name="csX7" fmla="*/ 1479 w 6614877"/>
            <a:gd name="csY7" fmla="*/ 2815843 h 3379025"/>
            <a:gd name="csX8" fmla="*/ 1479 w 6614877"/>
            <a:gd name="csY8" fmla="*/ 563182 h 3379025"/>
            <a:gd name="csX0" fmla="*/ 1479 w 6660131"/>
            <a:gd name="csY0" fmla="*/ 563182 h 3379025"/>
            <a:gd name="csX1" fmla="*/ 274375 w 6660131"/>
            <a:gd name="csY1" fmla="*/ 0 h 3379025"/>
            <a:gd name="csX2" fmla="*/ 6268749 w 6660131"/>
            <a:gd name="csY2" fmla="*/ 9071 h 3379025"/>
            <a:gd name="csX3" fmla="*/ 6614254 w 6660131"/>
            <a:gd name="csY3" fmla="*/ 544719 h 3379025"/>
            <a:gd name="csX4" fmla="*/ 6660131 w 6660131"/>
            <a:gd name="csY4" fmla="*/ 2966378 h 3379025"/>
            <a:gd name="csX5" fmla="*/ 6324327 w 6660131"/>
            <a:gd name="csY5" fmla="*/ 3379025 h 3379025"/>
            <a:gd name="csX6" fmla="*/ 564661 w 6660131"/>
            <a:gd name="csY6" fmla="*/ 3379025 h 3379025"/>
            <a:gd name="csX7" fmla="*/ 1479 w 6660131"/>
            <a:gd name="csY7" fmla="*/ 2815843 h 3379025"/>
            <a:gd name="csX8" fmla="*/ 1479 w 6660131"/>
            <a:gd name="csY8" fmla="*/ 563182 h 3379025"/>
            <a:gd name="csX0" fmla="*/ 1479 w 6660131"/>
            <a:gd name="csY0" fmla="*/ 563182 h 3379025"/>
            <a:gd name="csX1" fmla="*/ 274375 w 6660131"/>
            <a:gd name="csY1" fmla="*/ 0 h 3379025"/>
            <a:gd name="csX2" fmla="*/ 6268749 w 6660131"/>
            <a:gd name="csY2" fmla="*/ 9071 h 3379025"/>
            <a:gd name="csX3" fmla="*/ 6659797 w 6660131"/>
            <a:gd name="csY3" fmla="*/ 572413 h 3379025"/>
            <a:gd name="csX4" fmla="*/ 6660131 w 6660131"/>
            <a:gd name="csY4" fmla="*/ 2966378 h 3379025"/>
            <a:gd name="csX5" fmla="*/ 6324327 w 6660131"/>
            <a:gd name="csY5" fmla="*/ 3379025 h 3379025"/>
            <a:gd name="csX6" fmla="*/ 564661 w 6660131"/>
            <a:gd name="csY6" fmla="*/ 3379025 h 3379025"/>
            <a:gd name="csX7" fmla="*/ 1479 w 6660131"/>
            <a:gd name="csY7" fmla="*/ 2815843 h 3379025"/>
            <a:gd name="csX8" fmla="*/ 1479 w 6660131"/>
            <a:gd name="csY8" fmla="*/ 563182 h 3379025"/>
            <a:gd name="csX0" fmla="*/ 1479 w 6660131"/>
            <a:gd name="csY0" fmla="*/ 563182 h 3379493"/>
            <a:gd name="csX1" fmla="*/ 274375 w 6660131"/>
            <a:gd name="csY1" fmla="*/ 0 h 3379493"/>
            <a:gd name="csX2" fmla="*/ 6268749 w 6660131"/>
            <a:gd name="csY2" fmla="*/ 9071 h 3379493"/>
            <a:gd name="csX3" fmla="*/ 6659797 w 6660131"/>
            <a:gd name="csY3" fmla="*/ 572413 h 3379493"/>
            <a:gd name="csX4" fmla="*/ 6660131 w 6660131"/>
            <a:gd name="csY4" fmla="*/ 2966378 h 3379493"/>
            <a:gd name="csX5" fmla="*/ 6324327 w 6660131"/>
            <a:gd name="csY5" fmla="*/ 3379025 h 3379493"/>
            <a:gd name="csX6" fmla="*/ 564661 w 6660131"/>
            <a:gd name="csY6" fmla="*/ 3379025 h 3379493"/>
            <a:gd name="csX7" fmla="*/ 37913 w 6660131"/>
            <a:gd name="csY7" fmla="*/ 3092784 h 3379493"/>
            <a:gd name="csX8" fmla="*/ 1479 w 6660131"/>
            <a:gd name="csY8" fmla="*/ 563182 h 3379493"/>
            <a:gd name="csX0" fmla="*/ 5746 w 6637072"/>
            <a:gd name="csY0" fmla="*/ 461637 h 3379493"/>
            <a:gd name="csX1" fmla="*/ 251316 w 6637072"/>
            <a:gd name="csY1" fmla="*/ 0 h 3379493"/>
            <a:gd name="csX2" fmla="*/ 6245690 w 6637072"/>
            <a:gd name="csY2" fmla="*/ 9071 h 3379493"/>
            <a:gd name="csX3" fmla="*/ 6636738 w 6637072"/>
            <a:gd name="csY3" fmla="*/ 572413 h 3379493"/>
            <a:gd name="csX4" fmla="*/ 6637072 w 6637072"/>
            <a:gd name="csY4" fmla="*/ 2966378 h 3379493"/>
            <a:gd name="csX5" fmla="*/ 6301268 w 6637072"/>
            <a:gd name="csY5" fmla="*/ 3379025 h 3379493"/>
            <a:gd name="csX6" fmla="*/ 541602 w 6637072"/>
            <a:gd name="csY6" fmla="*/ 3379025 h 3379493"/>
            <a:gd name="csX7" fmla="*/ 14854 w 6637072"/>
            <a:gd name="csY7" fmla="*/ 3092784 h 3379493"/>
            <a:gd name="csX8" fmla="*/ 5746 w 6637072"/>
            <a:gd name="csY8" fmla="*/ 461637 h 337949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6637072" h="3379493">
              <a:moveTo>
                <a:pt x="5746" y="461637"/>
              </a:moveTo>
              <a:cubicBezTo>
                <a:pt x="5746" y="150600"/>
                <a:pt x="-59721" y="0"/>
                <a:pt x="251316" y="0"/>
              </a:cubicBezTo>
              <a:lnTo>
                <a:pt x="6245690" y="9071"/>
              </a:lnTo>
              <a:cubicBezTo>
                <a:pt x="6556727" y="9071"/>
                <a:pt x="6636738" y="261376"/>
                <a:pt x="6636738" y="572413"/>
              </a:cubicBezTo>
              <a:cubicBezTo>
                <a:pt x="6636850" y="1385787"/>
                <a:pt x="6636960" y="2153004"/>
                <a:pt x="6637072" y="2966378"/>
              </a:cubicBezTo>
              <a:cubicBezTo>
                <a:pt x="6637072" y="3277415"/>
                <a:pt x="6612305" y="3379025"/>
                <a:pt x="6301268" y="3379025"/>
              </a:cubicBezTo>
              <a:lnTo>
                <a:pt x="541602" y="3379025"/>
              </a:lnTo>
              <a:cubicBezTo>
                <a:pt x="230565" y="3379025"/>
                <a:pt x="14854" y="3403821"/>
                <a:pt x="14854" y="3092784"/>
              </a:cubicBezTo>
              <a:lnTo>
                <a:pt x="5746" y="461637"/>
              </a:lnTo>
              <a:close/>
            </a:path>
          </a:pathLst>
        </a:custGeom>
        <a:solidFill>
          <a:schemeClr val="lt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aseline="0"/>
            <a:t> </a:t>
          </a:r>
          <a:r>
            <a:rPr lang="en-IN" sz="1600" b="1" baseline="0">
              <a:solidFill>
                <a:schemeClr val="accent2">
                  <a:lumMod val="75000"/>
                </a:schemeClr>
              </a:solidFill>
              <a:latin typeface="Aptos Narrow" panose="020B0004020202020204" pitchFamily="34" charset="0"/>
            </a:rPr>
            <a:t>UNIT SOLD BY PRODUCT</a:t>
          </a:r>
          <a:endParaRPr lang="en-IN" sz="1100" b="1">
            <a:solidFill>
              <a:schemeClr val="accent2">
                <a:lumMod val="75000"/>
              </a:schemeClr>
            </a:solidFill>
            <a:latin typeface="Aptos Narrow" panose="020B0004020202020204" pitchFamily="34" charset="0"/>
          </a:endParaRPr>
        </a:p>
      </xdr:txBody>
    </xdr:sp>
    <xdr:clientData/>
  </xdr:twoCellAnchor>
  <xdr:twoCellAnchor>
    <xdr:from>
      <xdr:col>4</xdr:col>
      <xdr:colOff>0</xdr:colOff>
      <xdr:row>12</xdr:row>
      <xdr:rowOff>19050</xdr:rowOff>
    </xdr:from>
    <xdr:to>
      <xdr:col>13</xdr:col>
      <xdr:colOff>0</xdr:colOff>
      <xdr:row>27</xdr:row>
      <xdr:rowOff>0</xdr:rowOff>
    </xdr:to>
    <xdr:graphicFrame macro="">
      <xdr:nvGraphicFramePr>
        <xdr:cNvPr id="93" name="Chart 92">
          <a:extLst>
            <a:ext uri="{FF2B5EF4-FFF2-40B4-BE49-F238E27FC236}">
              <a16:creationId xmlns:a16="http://schemas.microsoft.com/office/drawing/2014/main" id="{C1B55757-0B04-49D1-ABDB-974477B071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414130</xdr:colOff>
      <xdr:row>9</xdr:row>
      <xdr:rowOff>43942</xdr:rowOff>
    </xdr:from>
    <xdr:to>
      <xdr:col>22</xdr:col>
      <xdr:colOff>195195</xdr:colOff>
      <xdr:row>28</xdr:row>
      <xdr:rowOff>48396</xdr:rowOff>
    </xdr:to>
    <xdr:sp macro="" textlink="">
      <xdr:nvSpPr>
        <xdr:cNvPr id="94" name="Rectangle: Rounded Corners 93">
          <a:extLst>
            <a:ext uri="{FF2B5EF4-FFF2-40B4-BE49-F238E27FC236}">
              <a16:creationId xmlns:a16="http://schemas.microsoft.com/office/drawing/2014/main" id="{A88A9080-DED5-819F-368A-6273B77DE53A}"/>
            </a:ext>
          </a:extLst>
        </xdr:cNvPr>
        <xdr:cNvSpPr/>
      </xdr:nvSpPr>
      <xdr:spPr>
        <a:xfrm>
          <a:off x="9028043" y="1659051"/>
          <a:ext cx="5744543" cy="3414128"/>
        </a:xfrm>
        <a:custGeom>
          <a:avLst/>
          <a:gdLst>
            <a:gd name="csX0" fmla="*/ 0 w 4862286"/>
            <a:gd name="csY0" fmla="*/ 563182 h 3379025"/>
            <a:gd name="csX1" fmla="*/ 563182 w 4862286"/>
            <a:gd name="csY1" fmla="*/ 0 h 3379025"/>
            <a:gd name="csX2" fmla="*/ 4299104 w 4862286"/>
            <a:gd name="csY2" fmla="*/ 0 h 3379025"/>
            <a:gd name="csX3" fmla="*/ 4862286 w 4862286"/>
            <a:gd name="csY3" fmla="*/ 563182 h 3379025"/>
            <a:gd name="csX4" fmla="*/ 4862286 w 4862286"/>
            <a:gd name="csY4" fmla="*/ 2815843 h 3379025"/>
            <a:gd name="csX5" fmla="*/ 4299104 w 4862286"/>
            <a:gd name="csY5" fmla="*/ 3379025 h 3379025"/>
            <a:gd name="csX6" fmla="*/ 563182 w 4862286"/>
            <a:gd name="csY6" fmla="*/ 3379025 h 3379025"/>
            <a:gd name="csX7" fmla="*/ 0 w 4862286"/>
            <a:gd name="csY7" fmla="*/ 2815843 h 3379025"/>
            <a:gd name="csX8" fmla="*/ 0 w 4862286"/>
            <a:gd name="csY8" fmla="*/ 563182 h 3379025"/>
            <a:gd name="csX0" fmla="*/ 22676 w 4884962"/>
            <a:gd name="csY0" fmla="*/ 581325 h 3397168"/>
            <a:gd name="csX1" fmla="*/ 213929 w 4884962"/>
            <a:gd name="csY1" fmla="*/ 0 h 3397168"/>
            <a:gd name="csX2" fmla="*/ 4321780 w 4884962"/>
            <a:gd name="csY2" fmla="*/ 18143 h 3397168"/>
            <a:gd name="csX3" fmla="*/ 4884962 w 4884962"/>
            <a:gd name="csY3" fmla="*/ 581325 h 3397168"/>
            <a:gd name="csX4" fmla="*/ 4884962 w 4884962"/>
            <a:gd name="csY4" fmla="*/ 2833986 h 3397168"/>
            <a:gd name="csX5" fmla="*/ 4321780 w 4884962"/>
            <a:gd name="csY5" fmla="*/ 3397168 h 3397168"/>
            <a:gd name="csX6" fmla="*/ 585858 w 4884962"/>
            <a:gd name="csY6" fmla="*/ 3397168 h 3397168"/>
            <a:gd name="csX7" fmla="*/ 22676 w 4884962"/>
            <a:gd name="csY7" fmla="*/ 2833986 h 3397168"/>
            <a:gd name="csX8" fmla="*/ 22676 w 4884962"/>
            <a:gd name="csY8" fmla="*/ 581325 h 3397168"/>
            <a:gd name="csX0" fmla="*/ 22676 w 4885682"/>
            <a:gd name="csY0" fmla="*/ 581325 h 3397168"/>
            <a:gd name="csX1" fmla="*/ 213929 w 4885682"/>
            <a:gd name="csY1" fmla="*/ 0 h 3397168"/>
            <a:gd name="csX2" fmla="*/ 4602995 w 4885682"/>
            <a:gd name="csY2" fmla="*/ 0 h 3397168"/>
            <a:gd name="csX3" fmla="*/ 4884962 w 4885682"/>
            <a:gd name="csY3" fmla="*/ 581325 h 3397168"/>
            <a:gd name="csX4" fmla="*/ 4884962 w 4885682"/>
            <a:gd name="csY4" fmla="*/ 2833986 h 3397168"/>
            <a:gd name="csX5" fmla="*/ 4321780 w 4885682"/>
            <a:gd name="csY5" fmla="*/ 3397168 h 3397168"/>
            <a:gd name="csX6" fmla="*/ 585858 w 4885682"/>
            <a:gd name="csY6" fmla="*/ 3397168 h 3397168"/>
            <a:gd name="csX7" fmla="*/ 22676 w 4885682"/>
            <a:gd name="csY7" fmla="*/ 2833986 h 3397168"/>
            <a:gd name="csX8" fmla="*/ 22676 w 4885682"/>
            <a:gd name="csY8" fmla="*/ 581325 h 3397168"/>
            <a:gd name="csX0" fmla="*/ 22676 w 4897850"/>
            <a:gd name="csY0" fmla="*/ 599468 h 3415311"/>
            <a:gd name="csX1" fmla="*/ 213929 w 4897850"/>
            <a:gd name="csY1" fmla="*/ 18143 h 3415311"/>
            <a:gd name="csX2" fmla="*/ 4666495 w 4897850"/>
            <a:gd name="csY2" fmla="*/ 0 h 3415311"/>
            <a:gd name="csX3" fmla="*/ 4884962 w 4897850"/>
            <a:gd name="csY3" fmla="*/ 599468 h 3415311"/>
            <a:gd name="csX4" fmla="*/ 4884962 w 4897850"/>
            <a:gd name="csY4" fmla="*/ 2852129 h 3415311"/>
            <a:gd name="csX5" fmla="*/ 4321780 w 4897850"/>
            <a:gd name="csY5" fmla="*/ 3415311 h 3415311"/>
            <a:gd name="csX6" fmla="*/ 585858 w 4897850"/>
            <a:gd name="csY6" fmla="*/ 3415311 h 3415311"/>
            <a:gd name="csX7" fmla="*/ 22676 w 4897850"/>
            <a:gd name="csY7" fmla="*/ 2852129 h 3415311"/>
            <a:gd name="csX8" fmla="*/ 22676 w 4897850"/>
            <a:gd name="csY8" fmla="*/ 599468 h 3415311"/>
            <a:gd name="csX0" fmla="*/ 22676 w 4921248"/>
            <a:gd name="csY0" fmla="*/ 599468 h 3423108"/>
            <a:gd name="csX1" fmla="*/ 213929 w 4921248"/>
            <a:gd name="csY1" fmla="*/ 18143 h 3423108"/>
            <a:gd name="csX2" fmla="*/ 4666495 w 4921248"/>
            <a:gd name="csY2" fmla="*/ 0 h 3423108"/>
            <a:gd name="csX3" fmla="*/ 4884962 w 4921248"/>
            <a:gd name="csY3" fmla="*/ 599468 h 3423108"/>
            <a:gd name="csX4" fmla="*/ 4921248 w 4921248"/>
            <a:gd name="csY4" fmla="*/ 3178700 h 3423108"/>
            <a:gd name="csX5" fmla="*/ 4321780 w 4921248"/>
            <a:gd name="csY5" fmla="*/ 3415311 h 3423108"/>
            <a:gd name="csX6" fmla="*/ 585858 w 4921248"/>
            <a:gd name="csY6" fmla="*/ 3415311 h 3423108"/>
            <a:gd name="csX7" fmla="*/ 22676 w 4921248"/>
            <a:gd name="csY7" fmla="*/ 2852129 h 3423108"/>
            <a:gd name="csX8" fmla="*/ 22676 w 4921248"/>
            <a:gd name="csY8" fmla="*/ 599468 h 3423108"/>
            <a:gd name="csX0" fmla="*/ 22676 w 4921248"/>
            <a:gd name="csY0" fmla="*/ 599468 h 3442526"/>
            <a:gd name="csX1" fmla="*/ 213929 w 4921248"/>
            <a:gd name="csY1" fmla="*/ 18143 h 3442526"/>
            <a:gd name="csX2" fmla="*/ 4666495 w 4921248"/>
            <a:gd name="csY2" fmla="*/ 0 h 3442526"/>
            <a:gd name="csX3" fmla="*/ 4884962 w 4921248"/>
            <a:gd name="csY3" fmla="*/ 599468 h 3442526"/>
            <a:gd name="csX4" fmla="*/ 4921248 w 4921248"/>
            <a:gd name="csY4" fmla="*/ 3178700 h 3442526"/>
            <a:gd name="csX5" fmla="*/ 4321780 w 4921248"/>
            <a:gd name="csY5" fmla="*/ 3415311 h 3442526"/>
            <a:gd name="csX6" fmla="*/ 241144 w 4921248"/>
            <a:gd name="csY6" fmla="*/ 3442526 h 3442526"/>
            <a:gd name="csX7" fmla="*/ 22676 w 4921248"/>
            <a:gd name="csY7" fmla="*/ 2852129 h 3442526"/>
            <a:gd name="csX8" fmla="*/ 22676 w 4921248"/>
            <a:gd name="csY8" fmla="*/ 599468 h 3442526"/>
            <a:gd name="csX0" fmla="*/ 22676 w 4921248"/>
            <a:gd name="csY0" fmla="*/ 608539 h 3451597"/>
            <a:gd name="csX1" fmla="*/ 213929 w 4921248"/>
            <a:gd name="csY1" fmla="*/ 27214 h 3451597"/>
            <a:gd name="csX2" fmla="*/ 4594978 w 4921248"/>
            <a:gd name="csY2" fmla="*/ 0 h 3451597"/>
            <a:gd name="csX3" fmla="*/ 4884962 w 4921248"/>
            <a:gd name="csY3" fmla="*/ 608539 h 3451597"/>
            <a:gd name="csX4" fmla="*/ 4921248 w 4921248"/>
            <a:gd name="csY4" fmla="*/ 3187771 h 3451597"/>
            <a:gd name="csX5" fmla="*/ 4321780 w 4921248"/>
            <a:gd name="csY5" fmla="*/ 3424382 h 3451597"/>
            <a:gd name="csX6" fmla="*/ 241144 w 4921248"/>
            <a:gd name="csY6" fmla="*/ 3451597 h 3451597"/>
            <a:gd name="csX7" fmla="*/ 22676 w 4921248"/>
            <a:gd name="csY7" fmla="*/ 2861200 h 3451597"/>
            <a:gd name="csX8" fmla="*/ 22676 w 4921248"/>
            <a:gd name="csY8" fmla="*/ 608539 h 3451597"/>
            <a:gd name="csX0" fmla="*/ 12889 w 4911461"/>
            <a:gd name="csY0" fmla="*/ 608539 h 3451597"/>
            <a:gd name="csX1" fmla="*/ 302478 w 4911461"/>
            <a:gd name="csY1" fmla="*/ 9071 h 3451597"/>
            <a:gd name="csX2" fmla="*/ 4585191 w 4911461"/>
            <a:gd name="csY2" fmla="*/ 0 h 3451597"/>
            <a:gd name="csX3" fmla="*/ 4875175 w 4911461"/>
            <a:gd name="csY3" fmla="*/ 608539 h 3451597"/>
            <a:gd name="csX4" fmla="*/ 4911461 w 4911461"/>
            <a:gd name="csY4" fmla="*/ 3187771 h 3451597"/>
            <a:gd name="csX5" fmla="*/ 4311993 w 4911461"/>
            <a:gd name="csY5" fmla="*/ 3424382 h 3451597"/>
            <a:gd name="csX6" fmla="*/ 231357 w 4911461"/>
            <a:gd name="csY6" fmla="*/ 3451597 h 3451597"/>
            <a:gd name="csX7" fmla="*/ 12889 w 4911461"/>
            <a:gd name="csY7" fmla="*/ 2861200 h 3451597"/>
            <a:gd name="csX8" fmla="*/ 12889 w 4911461"/>
            <a:gd name="csY8" fmla="*/ 608539 h 345159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4911461" h="3451597">
              <a:moveTo>
                <a:pt x="12889" y="608539"/>
              </a:moveTo>
              <a:cubicBezTo>
                <a:pt x="12889" y="297502"/>
                <a:pt x="-8559" y="9071"/>
                <a:pt x="302478" y="9071"/>
              </a:cubicBezTo>
              <a:lnTo>
                <a:pt x="4585191" y="0"/>
              </a:lnTo>
              <a:cubicBezTo>
                <a:pt x="4896228" y="0"/>
                <a:pt x="4875175" y="297502"/>
                <a:pt x="4875175" y="608539"/>
              </a:cubicBezTo>
              <a:lnTo>
                <a:pt x="4911461" y="3187771"/>
              </a:lnTo>
              <a:cubicBezTo>
                <a:pt x="4911461" y="3498808"/>
                <a:pt x="4623030" y="3424382"/>
                <a:pt x="4311993" y="3424382"/>
              </a:cubicBezTo>
              <a:lnTo>
                <a:pt x="231357" y="3451597"/>
              </a:lnTo>
              <a:cubicBezTo>
                <a:pt x="-79680" y="3451597"/>
                <a:pt x="12889" y="3172237"/>
                <a:pt x="12889" y="2861200"/>
              </a:cubicBezTo>
              <a:lnTo>
                <a:pt x="12889" y="608539"/>
              </a:lnTo>
              <a:close/>
            </a:path>
          </a:pathLst>
        </a:cu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baseline="0">
              <a:solidFill>
                <a:srgbClr val="76B531"/>
              </a:solidFill>
              <a:latin typeface="Aptos Narrow" panose="020B0004020202020204" pitchFamily="34" charset="0"/>
            </a:rPr>
            <a:t> </a:t>
          </a:r>
          <a:r>
            <a:rPr lang="en-IN" sz="1600" b="1" baseline="0">
              <a:solidFill>
                <a:schemeClr val="accent2">
                  <a:lumMod val="75000"/>
                </a:schemeClr>
              </a:solidFill>
              <a:latin typeface="Aptos Narrow" panose="020B0004020202020204" pitchFamily="34" charset="0"/>
            </a:rPr>
            <a:t>TOTAL SALES BY REGION </a:t>
          </a:r>
          <a:endParaRPr lang="en-IN" sz="1600" b="1">
            <a:solidFill>
              <a:schemeClr val="accent2">
                <a:lumMod val="75000"/>
              </a:schemeClr>
            </a:solidFill>
            <a:latin typeface="Aptos Narrow" panose="020B0004020202020204" pitchFamily="34" charset="0"/>
          </a:endParaRPr>
        </a:p>
      </xdr:txBody>
    </xdr:sp>
    <xdr:clientData/>
  </xdr:twoCellAnchor>
  <xdr:twoCellAnchor>
    <xdr:from>
      <xdr:col>14</xdr:col>
      <xdr:colOff>430245</xdr:colOff>
      <xdr:row>11</xdr:row>
      <xdr:rowOff>104698</xdr:rowOff>
    </xdr:from>
    <xdr:to>
      <xdr:col>21</xdr:col>
      <xdr:colOff>423333</xdr:colOff>
      <xdr:row>26</xdr:row>
      <xdr:rowOff>136071</xdr:rowOff>
    </xdr:to>
    <xdr:graphicFrame macro="">
      <xdr:nvGraphicFramePr>
        <xdr:cNvPr id="96" name="Chart 95">
          <a:extLst>
            <a:ext uri="{FF2B5EF4-FFF2-40B4-BE49-F238E27FC236}">
              <a16:creationId xmlns:a16="http://schemas.microsoft.com/office/drawing/2014/main" id="{E90B529E-EE9C-444E-9404-FA0A12D2D3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598715</xdr:colOff>
      <xdr:row>28</xdr:row>
      <xdr:rowOff>45358</xdr:rowOff>
    </xdr:from>
    <xdr:to>
      <xdr:col>13</xdr:col>
      <xdr:colOff>225309</xdr:colOff>
      <xdr:row>44</xdr:row>
      <xdr:rowOff>38878</xdr:rowOff>
    </xdr:to>
    <xdr:sp macro="" textlink="">
      <xdr:nvSpPr>
        <xdr:cNvPr id="99" name="Rectangle: Single Corner Rounded 98">
          <a:extLst>
            <a:ext uri="{FF2B5EF4-FFF2-40B4-BE49-F238E27FC236}">
              <a16:creationId xmlns:a16="http://schemas.microsoft.com/office/drawing/2014/main" id="{99806C4E-24A3-91F6-CA91-778B418041DF}"/>
            </a:ext>
          </a:extLst>
        </xdr:cNvPr>
        <xdr:cNvSpPr/>
      </xdr:nvSpPr>
      <xdr:spPr>
        <a:xfrm>
          <a:off x="1816878" y="5125358"/>
          <a:ext cx="6326492" cy="2896377"/>
        </a:xfrm>
        <a:custGeom>
          <a:avLst/>
          <a:gdLst>
            <a:gd name="csX0" fmla="*/ 0 w 6245769"/>
            <a:gd name="csY0" fmla="*/ 485331 h 2911929"/>
            <a:gd name="csX1" fmla="*/ 485331 w 6245769"/>
            <a:gd name="csY1" fmla="*/ 0 h 2911929"/>
            <a:gd name="csX2" fmla="*/ 5760438 w 6245769"/>
            <a:gd name="csY2" fmla="*/ 0 h 2911929"/>
            <a:gd name="csX3" fmla="*/ 6245769 w 6245769"/>
            <a:gd name="csY3" fmla="*/ 485331 h 2911929"/>
            <a:gd name="csX4" fmla="*/ 6245769 w 6245769"/>
            <a:gd name="csY4" fmla="*/ 2426598 h 2911929"/>
            <a:gd name="csX5" fmla="*/ 5760438 w 6245769"/>
            <a:gd name="csY5" fmla="*/ 2911929 h 2911929"/>
            <a:gd name="csX6" fmla="*/ 485331 w 6245769"/>
            <a:gd name="csY6" fmla="*/ 2911929 h 2911929"/>
            <a:gd name="csX7" fmla="*/ 0 w 6245769"/>
            <a:gd name="csY7" fmla="*/ 2426598 h 2911929"/>
            <a:gd name="csX8" fmla="*/ 0 w 6245769"/>
            <a:gd name="csY8" fmla="*/ 485331 h 2911929"/>
            <a:gd name="csX0" fmla="*/ 0 w 6246576"/>
            <a:gd name="csY0" fmla="*/ 485331 h 2911929"/>
            <a:gd name="csX1" fmla="*/ 485331 w 6246576"/>
            <a:gd name="csY1" fmla="*/ 0 h 2911929"/>
            <a:gd name="csX2" fmla="*/ 6005367 w 6246576"/>
            <a:gd name="csY2" fmla="*/ 18143 h 2911929"/>
            <a:gd name="csX3" fmla="*/ 6245769 w 6246576"/>
            <a:gd name="csY3" fmla="*/ 485331 h 2911929"/>
            <a:gd name="csX4" fmla="*/ 6245769 w 6246576"/>
            <a:gd name="csY4" fmla="*/ 2426598 h 2911929"/>
            <a:gd name="csX5" fmla="*/ 5760438 w 6246576"/>
            <a:gd name="csY5" fmla="*/ 2911929 h 2911929"/>
            <a:gd name="csX6" fmla="*/ 485331 w 6246576"/>
            <a:gd name="csY6" fmla="*/ 2911929 h 2911929"/>
            <a:gd name="csX7" fmla="*/ 0 w 6246576"/>
            <a:gd name="csY7" fmla="*/ 2426598 h 2911929"/>
            <a:gd name="csX8" fmla="*/ 0 w 6246576"/>
            <a:gd name="csY8" fmla="*/ 485331 h 2911929"/>
            <a:gd name="csX0" fmla="*/ 807 w 6247383"/>
            <a:gd name="csY0" fmla="*/ 467188 h 2893786"/>
            <a:gd name="csX1" fmla="*/ 241210 w 6247383"/>
            <a:gd name="csY1" fmla="*/ 9071 h 2893786"/>
            <a:gd name="csX2" fmla="*/ 6006174 w 6247383"/>
            <a:gd name="csY2" fmla="*/ 0 h 2893786"/>
            <a:gd name="csX3" fmla="*/ 6246576 w 6247383"/>
            <a:gd name="csY3" fmla="*/ 467188 h 2893786"/>
            <a:gd name="csX4" fmla="*/ 6246576 w 6247383"/>
            <a:gd name="csY4" fmla="*/ 2408455 h 2893786"/>
            <a:gd name="csX5" fmla="*/ 5761245 w 6247383"/>
            <a:gd name="csY5" fmla="*/ 2893786 h 2893786"/>
            <a:gd name="csX6" fmla="*/ 486138 w 6247383"/>
            <a:gd name="csY6" fmla="*/ 2893786 h 2893786"/>
            <a:gd name="csX7" fmla="*/ 807 w 6247383"/>
            <a:gd name="csY7" fmla="*/ 2408455 h 2893786"/>
            <a:gd name="csX8" fmla="*/ 807 w 6247383"/>
            <a:gd name="csY8" fmla="*/ 467188 h 2893786"/>
            <a:gd name="csX0" fmla="*/ 14932 w 6261508"/>
            <a:gd name="csY0" fmla="*/ 467188 h 2893786"/>
            <a:gd name="csX1" fmla="*/ 255335 w 6261508"/>
            <a:gd name="csY1" fmla="*/ 9071 h 2893786"/>
            <a:gd name="csX2" fmla="*/ 6020299 w 6261508"/>
            <a:gd name="csY2" fmla="*/ 0 h 2893786"/>
            <a:gd name="csX3" fmla="*/ 6260701 w 6261508"/>
            <a:gd name="csY3" fmla="*/ 467188 h 2893786"/>
            <a:gd name="csX4" fmla="*/ 6260701 w 6261508"/>
            <a:gd name="csY4" fmla="*/ 2408455 h 2893786"/>
            <a:gd name="csX5" fmla="*/ 5775370 w 6261508"/>
            <a:gd name="csY5" fmla="*/ 2893786 h 2893786"/>
            <a:gd name="csX6" fmla="*/ 191834 w 6261508"/>
            <a:gd name="csY6" fmla="*/ 2884714 h 2893786"/>
            <a:gd name="csX7" fmla="*/ 14932 w 6261508"/>
            <a:gd name="csY7" fmla="*/ 2408455 h 2893786"/>
            <a:gd name="csX8" fmla="*/ 14932 w 6261508"/>
            <a:gd name="csY8" fmla="*/ 467188 h 2893786"/>
            <a:gd name="csX0" fmla="*/ 14932 w 6263669"/>
            <a:gd name="csY0" fmla="*/ 467188 h 2893786"/>
            <a:gd name="csX1" fmla="*/ 255335 w 6263669"/>
            <a:gd name="csY1" fmla="*/ 9071 h 2893786"/>
            <a:gd name="csX2" fmla="*/ 6020299 w 6263669"/>
            <a:gd name="csY2" fmla="*/ 0 h 2893786"/>
            <a:gd name="csX3" fmla="*/ 6260701 w 6263669"/>
            <a:gd name="csY3" fmla="*/ 467188 h 2893786"/>
            <a:gd name="csX4" fmla="*/ 6260701 w 6263669"/>
            <a:gd name="csY4" fmla="*/ 2408455 h 2893786"/>
            <a:gd name="csX5" fmla="*/ 6038441 w 6263669"/>
            <a:gd name="csY5" fmla="*/ 2893786 h 2893786"/>
            <a:gd name="csX6" fmla="*/ 191834 w 6263669"/>
            <a:gd name="csY6" fmla="*/ 2884714 h 2893786"/>
            <a:gd name="csX7" fmla="*/ 14932 w 6263669"/>
            <a:gd name="csY7" fmla="*/ 2408455 h 2893786"/>
            <a:gd name="csX8" fmla="*/ 14932 w 6263669"/>
            <a:gd name="csY8" fmla="*/ 467188 h 2893786"/>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6263669" h="2893786">
              <a:moveTo>
                <a:pt x="14932" y="467188"/>
              </a:moveTo>
              <a:cubicBezTo>
                <a:pt x="14932" y="199147"/>
                <a:pt x="-12706" y="9071"/>
                <a:pt x="255335" y="9071"/>
              </a:cubicBezTo>
              <a:lnTo>
                <a:pt x="6020299" y="0"/>
              </a:lnTo>
              <a:cubicBezTo>
                <a:pt x="6288340" y="0"/>
                <a:pt x="6260701" y="199147"/>
                <a:pt x="6260701" y="467188"/>
              </a:cubicBezTo>
              <a:lnTo>
                <a:pt x="6260701" y="2408455"/>
              </a:lnTo>
              <a:cubicBezTo>
                <a:pt x="6260701" y="2676496"/>
                <a:pt x="6306482" y="2893786"/>
                <a:pt x="6038441" y="2893786"/>
              </a:cubicBezTo>
              <a:lnTo>
                <a:pt x="191834" y="2884714"/>
              </a:lnTo>
              <a:cubicBezTo>
                <a:pt x="-76207" y="2884714"/>
                <a:pt x="14932" y="2676496"/>
                <a:pt x="14932" y="2408455"/>
              </a:cubicBezTo>
              <a:lnTo>
                <a:pt x="14932" y="467188"/>
              </a:lnTo>
              <a:close/>
            </a:path>
          </a:pathLst>
        </a:cu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a:solidFill>
                <a:schemeClr val="accent2">
                  <a:lumMod val="75000"/>
                </a:schemeClr>
              </a:solidFill>
              <a:latin typeface="Aptos Narrow" panose="020B0004020202020204" pitchFamily="34" charset="0"/>
            </a:rPr>
            <a:t>TOTAL</a:t>
          </a:r>
          <a:r>
            <a:rPr lang="en-IN" sz="1600" b="1" baseline="0">
              <a:solidFill>
                <a:schemeClr val="accent2">
                  <a:lumMod val="75000"/>
                </a:schemeClr>
              </a:solidFill>
              <a:latin typeface="Aptos Narrow" panose="020B0004020202020204" pitchFamily="34" charset="0"/>
            </a:rPr>
            <a:t> SALES BY PRODUCT</a:t>
          </a:r>
          <a:endParaRPr lang="en-IN" sz="1600" b="1">
            <a:solidFill>
              <a:schemeClr val="accent2">
                <a:lumMod val="75000"/>
              </a:schemeClr>
            </a:solidFill>
            <a:latin typeface="Aptos Narrow" panose="020B0004020202020204" pitchFamily="34" charset="0"/>
          </a:endParaRPr>
        </a:p>
      </xdr:txBody>
    </xdr:sp>
    <xdr:clientData/>
  </xdr:twoCellAnchor>
  <xdr:twoCellAnchor>
    <xdr:from>
      <xdr:col>13</xdr:col>
      <xdr:colOff>244930</xdr:colOff>
      <xdr:row>28</xdr:row>
      <xdr:rowOff>57019</xdr:rowOff>
    </xdr:from>
    <xdr:to>
      <xdr:col>22</xdr:col>
      <xdr:colOff>233265</xdr:colOff>
      <xdr:row>44</xdr:row>
      <xdr:rowOff>12959</xdr:rowOff>
    </xdr:to>
    <xdr:sp macro="" textlink="">
      <xdr:nvSpPr>
        <xdr:cNvPr id="100" name="Rectangle: Rounded Corners 99">
          <a:extLst>
            <a:ext uri="{FF2B5EF4-FFF2-40B4-BE49-F238E27FC236}">
              <a16:creationId xmlns:a16="http://schemas.microsoft.com/office/drawing/2014/main" id="{7F113662-7B62-F312-7FA0-B44C916D778D}"/>
            </a:ext>
          </a:extLst>
        </xdr:cNvPr>
        <xdr:cNvSpPr/>
      </xdr:nvSpPr>
      <xdr:spPr>
        <a:xfrm>
          <a:off x="8233640" y="5218954"/>
          <a:ext cx="5518980" cy="2905618"/>
        </a:xfrm>
        <a:custGeom>
          <a:avLst/>
          <a:gdLst>
            <a:gd name="csX0" fmla="*/ 0 w 5252357"/>
            <a:gd name="csY0" fmla="*/ 473236 h 2839358"/>
            <a:gd name="csX1" fmla="*/ 473236 w 5252357"/>
            <a:gd name="csY1" fmla="*/ 0 h 2839358"/>
            <a:gd name="csX2" fmla="*/ 4779121 w 5252357"/>
            <a:gd name="csY2" fmla="*/ 0 h 2839358"/>
            <a:gd name="csX3" fmla="*/ 5252357 w 5252357"/>
            <a:gd name="csY3" fmla="*/ 473236 h 2839358"/>
            <a:gd name="csX4" fmla="*/ 5252357 w 5252357"/>
            <a:gd name="csY4" fmla="*/ 2366122 h 2839358"/>
            <a:gd name="csX5" fmla="*/ 4779121 w 5252357"/>
            <a:gd name="csY5" fmla="*/ 2839358 h 2839358"/>
            <a:gd name="csX6" fmla="*/ 473236 w 5252357"/>
            <a:gd name="csY6" fmla="*/ 2839358 h 2839358"/>
            <a:gd name="csX7" fmla="*/ 0 w 5252357"/>
            <a:gd name="csY7" fmla="*/ 2366122 h 2839358"/>
            <a:gd name="csX8" fmla="*/ 0 w 5252357"/>
            <a:gd name="csY8" fmla="*/ 473236 h 2839358"/>
            <a:gd name="csX0" fmla="*/ 0 w 5288643"/>
            <a:gd name="csY0" fmla="*/ 473236 h 2843414"/>
            <a:gd name="csX1" fmla="*/ 473236 w 5288643"/>
            <a:gd name="csY1" fmla="*/ 0 h 2843414"/>
            <a:gd name="csX2" fmla="*/ 4779121 w 5288643"/>
            <a:gd name="csY2" fmla="*/ 0 h 2843414"/>
            <a:gd name="csX3" fmla="*/ 5252357 w 5288643"/>
            <a:gd name="csY3" fmla="*/ 473236 h 2843414"/>
            <a:gd name="csX4" fmla="*/ 5288643 w 5288643"/>
            <a:gd name="csY4" fmla="*/ 2629193 h 2843414"/>
            <a:gd name="csX5" fmla="*/ 4779121 w 5288643"/>
            <a:gd name="csY5" fmla="*/ 2839358 h 2843414"/>
            <a:gd name="csX6" fmla="*/ 473236 w 5288643"/>
            <a:gd name="csY6" fmla="*/ 2839358 h 2843414"/>
            <a:gd name="csX7" fmla="*/ 0 w 5288643"/>
            <a:gd name="csY7" fmla="*/ 2366122 h 2843414"/>
            <a:gd name="csX8" fmla="*/ 0 w 5288643"/>
            <a:gd name="csY8" fmla="*/ 473236 h 2843414"/>
            <a:gd name="csX0" fmla="*/ 4056 w 5292699"/>
            <a:gd name="csY0" fmla="*/ 473236 h 2843414"/>
            <a:gd name="csX1" fmla="*/ 214221 w 5292699"/>
            <a:gd name="csY1" fmla="*/ 9072 h 2843414"/>
            <a:gd name="csX2" fmla="*/ 4783177 w 5292699"/>
            <a:gd name="csY2" fmla="*/ 0 h 2843414"/>
            <a:gd name="csX3" fmla="*/ 5256413 w 5292699"/>
            <a:gd name="csY3" fmla="*/ 473236 h 2843414"/>
            <a:gd name="csX4" fmla="*/ 5292699 w 5292699"/>
            <a:gd name="csY4" fmla="*/ 2629193 h 2843414"/>
            <a:gd name="csX5" fmla="*/ 4783177 w 5292699"/>
            <a:gd name="csY5" fmla="*/ 2839358 h 2843414"/>
            <a:gd name="csX6" fmla="*/ 477292 w 5292699"/>
            <a:gd name="csY6" fmla="*/ 2839358 h 2843414"/>
            <a:gd name="csX7" fmla="*/ 4056 w 5292699"/>
            <a:gd name="csY7" fmla="*/ 2366122 h 2843414"/>
            <a:gd name="csX8" fmla="*/ 4056 w 5292699"/>
            <a:gd name="csY8" fmla="*/ 473236 h 2843414"/>
            <a:gd name="csX0" fmla="*/ 4056 w 5292699"/>
            <a:gd name="csY0" fmla="*/ 473236 h 2857501"/>
            <a:gd name="csX1" fmla="*/ 214221 w 5292699"/>
            <a:gd name="csY1" fmla="*/ 9072 h 2857501"/>
            <a:gd name="csX2" fmla="*/ 4783177 w 5292699"/>
            <a:gd name="csY2" fmla="*/ 0 h 2857501"/>
            <a:gd name="csX3" fmla="*/ 5256413 w 5292699"/>
            <a:gd name="csY3" fmla="*/ 473236 h 2857501"/>
            <a:gd name="csX4" fmla="*/ 5292699 w 5292699"/>
            <a:gd name="csY4" fmla="*/ 2629193 h 2857501"/>
            <a:gd name="csX5" fmla="*/ 4783177 w 5292699"/>
            <a:gd name="csY5" fmla="*/ 2839358 h 2857501"/>
            <a:gd name="csX6" fmla="*/ 241435 w 5292699"/>
            <a:gd name="csY6" fmla="*/ 2857501 h 2857501"/>
            <a:gd name="csX7" fmla="*/ 4056 w 5292699"/>
            <a:gd name="csY7" fmla="*/ 2366122 h 2857501"/>
            <a:gd name="csX8" fmla="*/ 4056 w 5292699"/>
            <a:gd name="csY8" fmla="*/ 473236 h 2857501"/>
            <a:gd name="csX0" fmla="*/ 4056 w 5292699"/>
            <a:gd name="csY0" fmla="*/ 482308 h 2866573"/>
            <a:gd name="csX1" fmla="*/ 214221 w 5292699"/>
            <a:gd name="csY1" fmla="*/ 18144 h 2866573"/>
            <a:gd name="csX2" fmla="*/ 4946463 w 5292699"/>
            <a:gd name="csY2" fmla="*/ 0 h 2866573"/>
            <a:gd name="csX3" fmla="*/ 5256413 w 5292699"/>
            <a:gd name="csY3" fmla="*/ 482308 h 2866573"/>
            <a:gd name="csX4" fmla="*/ 5292699 w 5292699"/>
            <a:gd name="csY4" fmla="*/ 2638265 h 2866573"/>
            <a:gd name="csX5" fmla="*/ 4783177 w 5292699"/>
            <a:gd name="csY5" fmla="*/ 2848430 h 2866573"/>
            <a:gd name="csX6" fmla="*/ 241435 w 5292699"/>
            <a:gd name="csY6" fmla="*/ 2866573 h 2866573"/>
            <a:gd name="csX7" fmla="*/ 4056 w 5292699"/>
            <a:gd name="csY7" fmla="*/ 2375194 h 2866573"/>
            <a:gd name="csX8" fmla="*/ 4056 w 5292699"/>
            <a:gd name="csY8" fmla="*/ 482308 h 2866573"/>
            <a:gd name="csX0" fmla="*/ 4056 w 5292699"/>
            <a:gd name="csY0" fmla="*/ 491379 h 2875644"/>
            <a:gd name="csX1" fmla="*/ 214221 w 5292699"/>
            <a:gd name="csY1" fmla="*/ 27215 h 2875644"/>
            <a:gd name="csX2" fmla="*/ 5028733 w 5292699"/>
            <a:gd name="csY2" fmla="*/ 0 h 2875644"/>
            <a:gd name="csX3" fmla="*/ 5256413 w 5292699"/>
            <a:gd name="csY3" fmla="*/ 491379 h 2875644"/>
            <a:gd name="csX4" fmla="*/ 5292699 w 5292699"/>
            <a:gd name="csY4" fmla="*/ 2647336 h 2875644"/>
            <a:gd name="csX5" fmla="*/ 4783177 w 5292699"/>
            <a:gd name="csY5" fmla="*/ 2857501 h 2875644"/>
            <a:gd name="csX6" fmla="*/ 241435 w 5292699"/>
            <a:gd name="csY6" fmla="*/ 2875644 h 2875644"/>
            <a:gd name="csX7" fmla="*/ 4056 w 5292699"/>
            <a:gd name="csY7" fmla="*/ 2384265 h 2875644"/>
            <a:gd name="csX8" fmla="*/ 4056 w 5292699"/>
            <a:gd name="csY8" fmla="*/ 491379 h 2875644"/>
            <a:gd name="csX0" fmla="*/ 4056 w 5292699"/>
            <a:gd name="csY0" fmla="*/ 509522 h 2893787"/>
            <a:gd name="csX1" fmla="*/ 214221 w 5292699"/>
            <a:gd name="csY1" fmla="*/ 45358 h 2893787"/>
            <a:gd name="csX2" fmla="*/ 5056156 w 5292699"/>
            <a:gd name="csY2" fmla="*/ 0 h 2893787"/>
            <a:gd name="csX3" fmla="*/ 5256413 w 5292699"/>
            <a:gd name="csY3" fmla="*/ 509522 h 2893787"/>
            <a:gd name="csX4" fmla="*/ 5292699 w 5292699"/>
            <a:gd name="csY4" fmla="*/ 2665479 h 2893787"/>
            <a:gd name="csX5" fmla="*/ 4783177 w 5292699"/>
            <a:gd name="csY5" fmla="*/ 2875644 h 2893787"/>
            <a:gd name="csX6" fmla="*/ 241435 w 5292699"/>
            <a:gd name="csY6" fmla="*/ 2893787 h 2893787"/>
            <a:gd name="csX7" fmla="*/ 4056 w 5292699"/>
            <a:gd name="csY7" fmla="*/ 2402408 h 2893787"/>
            <a:gd name="csX8" fmla="*/ 4056 w 5292699"/>
            <a:gd name="csY8" fmla="*/ 509522 h 2893787"/>
            <a:gd name="csX0" fmla="*/ 4056 w 5334439"/>
            <a:gd name="csY0" fmla="*/ 509522 h 2893787"/>
            <a:gd name="csX1" fmla="*/ 214221 w 5334439"/>
            <a:gd name="csY1" fmla="*/ 45358 h 2893787"/>
            <a:gd name="csX2" fmla="*/ 5202414 w 5334439"/>
            <a:gd name="csY2" fmla="*/ 0 h 2893787"/>
            <a:gd name="csX3" fmla="*/ 5256413 w 5334439"/>
            <a:gd name="csY3" fmla="*/ 509522 h 2893787"/>
            <a:gd name="csX4" fmla="*/ 5292699 w 5334439"/>
            <a:gd name="csY4" fmla="*/ 2665479 h 2893787"/>
            <a:gd name="csX5" fmla="*/ 4783177 w 5334439"/>
            <a:gd name="csY5" fmla="*/ 2875644 h 2893787"/>
            <a:gd name="csX6" fmla="*/ 241435 w 5334439"/>
            <a:gd name="csY6" fmla="*/ 2893787 h 2893787"/>
            <a:gd name="csX7" fmla="*/ 4056 w 5334439"/>
            <a:gd name="csY7" fmla="*/ 2402408 h 2893787"/>
            <a:gd name="csX8" fmla="*/ 4056 w 5334439"/>
            <a:gd name="csY8" fmla="*/ 509522 h 2893787"/>
            <a:gd name="csX0" fmla="*/ 4056 w 5364006"/>
            <a:gd name="csY0" fmla="*/ 509522 h 2893787"/>
            <a:gd name="csX1" fmla="*/ 214221 w 5364006"/>
            <a:gd name="csY1" fmla="*/ 45358 h 2893787"/>
            <a:gd name="csX2" fmla="*/ 5202414 w 5364006"/>
            <a:gd name="csY2" fmla="*/ 0 h 2893787"/>
            <a:gd name="csX3" fmla="*/ 5329543 w 5364006"/>
            <a:gd name="csY3" fmla="*/ 527664 h 2893787"/>
            <a:gd name="csX4" fmla="*/ 5292699 w 5364006"/>
            <a:gd name="csY4" fmla="*/ 2665479 h 2893787"/>
            <a:gd name="csX5" fmla="*/ 4783177 w 5364006"/>
            <a:gd name="csY5" fmla="*/ 2875644 h 2893787"/>
            <a:gd name="csX6" fmla="*/ 241435 w 5364006"/>
            <a:gd name="csY6" fmla="*/ 2893787 h 2893787"/>
            <a:gd name="csX7" fmla="*/ 4056 w 5364006"/>
            <a:gd name="csY7" fmla="*/ 2402408 h 2893787"/>
            <a:gd name="csX8" fmla="*/ 4056 w 5364006"/>
            <a:gd name="csY8" fmla="*/ 509522 h 2893787"/>
            <a:gd name="csX0" fmla="*/ 4056 w 5393252"/>
            <a:gd name="csY0" fmla="*/ 509522 h 2893787"/>
            <a:gd name="csX1" fmla="*/ 214221 w 5393252"/>
            <a:gd name="csY1" fmla="*/ 45358 h 2893787"/>
            <a:gd name="csX2" fmla="*/ 5202414 w 5393252"/>
            <a:gd name="csY2" fmla="*/ 0 h 2893787"/>
            <a:gd name="csX3" fmla="*/ 5329543 w 5393252"/>
            <a:gd name="csY3" fmla="*/ 527664 h 2893787"/>
            <a:gd name="csX4" fmla="*/ 5393252 w 5393252"/>
            <a:gd name="csY4" fmla="*/ 2701764 h 2893787"/>
            <a:gd name="csX5" fmla="*/ 4783177 w 5393252"/>
            <a:gd name="csY5" fmla="*/ 2875644 h 2893787"/>
            <a:gd name="csX6" fmla="*/ 241435 w 5393252"/>
            <a:gd name="csY6" fmla="*/ 2893787 h 2893787"/>
            <a:gd name="csX7" fmla="*/ 4056 w 5393252"/>
            <a:gd name="csY7" fmla="*/ 2402408 h 2893787"/>
            <a:gd name="csX8" fmla="*/ 4056 w 5393252"/>
            <a:gd name="csY8" fmla="*/ 509522 h 2893787"/>
            <a:gd name="csX0" fmla="*/ 4056 w 5393252"/>
            <a:gd name="csY0" fmla="*/ 509522 h 2893787"/>
            <a:gd name="csX1" fmla="*/ 214221 w 5393252"/>
            <a:gd name="csY1" fmla="*/ 45358 h 2893787"/>
            <a:gd name="csX2" fmla="*/ 5202414 w 5393252"/>
            <a:gd name="csY2" fmla="*/ 0 h 2893787"/>
            <a:gd name="csX3" fmla="*/ 5366107 w 5393252"/>
            <a:gd name="csY3" fmla="*/ 518593 h 2893787"/>
            <a:gd name="csX4" fmla="*/ 5393252 w 5393252"/>
            <a:gd name="csY4" fmla="*/ 2701764 h 2893787"/>
            <a:gd name="csX5" fmla="*/ 4783177 w 5393252"/>
            <a:gd name="csY5" fmla="*/ 2875644 h 2893787"/>
            <a:gd name="csX6" fmla="*/ 241435 w 5393252"/>
            <a:gd name="csY6" fmla="*/ 2893787 h 2893787"/>
            <a:gd name="csX7" fmla="*/ 4056 w 5393252"/>
            <a:gd name="csY7" fmla="*/ 2402408 h 2893787"/>
            <a:gd name="csX8" fmla="*/ 4056 w 5393252"/>
            <a:gd name="csY8" fmla="*/ 509522 h 289378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5393252" h="2893787">
              <a:moveTo>
                <a:pt x="4056" y="509522"/>
              </a:moveTo>
              <a:cubicBezTo>
                <a:pt x="4056" y="248161"/>
                <a:pt x="-47140" y="45358"/>
                <a:pt x="214221" y="45358"/>
              </a:cubicBezTo>
              <a:lnTo>
                <a:pt x="5202414" y="0"/>
              </a:lnTo>
              <a:cubicBezTo>
                <a:pt x="5463775" y="0"/>
                <a:pt x="5366107" y="257232"/>
                <a:pt x="5366107" y="518593"/>
              </a:cubicBezTo>
              <a:cubicBezTo>
                <a:pt x="5366107" y="1149555"/>
                <a:pt x="5393252" y="2070802"/>
                <a:pt x="5393252" y="2701764"/>
              </a:cubicBezTo>
              <a:cubicBezTo>
                <a:pt x="5393252" y="2963125"/>
                <a:pt x="5044538" y="2875644"/>
                <a:pt x="4783177" y="2875644"/>
              </a:cubicBezTo>
              <a:lnTo>
                <a:pt x="241435" y="2893787"/>
              </a:lnTo>
              <a:cubicBezTo>
                <a:pt x="-19926" y="2893787"/>
                <a:pt x="4056" y="2663769"/>
                <a:pt x="4056" y="2402408"/>
              </a:cubicBezTo>
              <a:lnTo>
                <a:pt x="4056" y="509522"/>
              </a:lnTo>
              <a:close/>
            </a:path>
          </a:pathLst>
        </a:cu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a:solidFill>
                <a:schemeClr val="accent2">
                  <a:lumMod val="75000"/>
                </a:schemeClr>
              </a:solidFill>
              <a:latin typeface="Aptos Narrow" panose="020B0004020202020204" pitchFamily="34" charset="0"/>
            </a:rPr>
            <a:t>TOTAL SALES</a:t>
          </a:r>
          <a:r>
            <a:rPr lang="en-IN" sz="1600" b="1" baseline="0">
              <a:solidFill>
                <a:schemeClr val="accent2">
                  <a:lumMod val="75000"/>
                </a:schemeClr>
              </a:solidFill>
              <a:latin typeface="Aptos Narrow" panose="020B0004020202020204" pitchFamily="34" charset="0"/>
            </a:rPr>
            <a:t> BY SALES PERSON</a:t>
          </a:r>
          <a:endParaRPr lang="en-IN" sz="1600" b="1">
            <a:solidFill>
              <a:schemeClr val="accent2">
                <a:lumMod val="75000"/>
              </a:schemeClr>
            </a:solidFill>
            <a:latin typeface="Aptos Narrow" panose="020B0004020202020204" pitchFamily="34" charset="0"/>
          </a:endParaRPr>
        </a:p>
      </xdr:txBody>
    </xdr:sp>
    <xdr:clientData/>
  </xdr:twoCellAnchor>
  <xdr:twoCellAnchor>
    <xdr:from>
      <xdr:col>3</xdr:col>
      <xdr:colOff>181430</xdr:colOff>
      <xdr:row>31</xdr:row>
      <xdr:rowOff>117927</xdr:rowOff>
    </xdr:from>
    <xdr:to>
      <xdr:col>12</xdr:col>
      <xdr:colOff>163286</xdr:colOff>
      <xdr:row>43</xdr:row>
      <xdr:rowOff>63499</xdr:rowOff>
    </xdr:to>
    <xdr:graphicFrame macro="">
      <xdr:nvGraphicFramePr>
        <xdr:cNvPr id="101" name="Chart 100">
          <a:extLst>
            <a:ext uri="{FF2B5EF4-FFF2-40B4-BE49-F238E27FC236}">
              <a16:creationId xmlns:a16="http://schemas.microsoft.com/office/drawing/2014/main" id="{B63A2716-B1C8-4E48-A3D1-A91B1B963A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92177</xdr:colOff>
      <xdr:row>30</xdr:row>
      <xdr:rowOff>133145</xdr:rowOff>
    </xdr:from>
    <xdr:to>
      <xdr:col>21</xdr:col>
      <xdr:colOff>327742</xdr:colOff>
      <xdr:row>43</xdr:row>
      <xdr:rowOff>45357</xdr:rowOff>
    </xdr:to>
    <xdr:graphicFrame macro="">
      <xdr:nvGraphicFramePr>
        <xdr:cNvPr id="102" name="Chart 101">
          <a:extLst>
            <a:ext uri="{FF2B5EF4-FFF2-40B4-BE49-F238E27FC236}">
              <a16:creationId xmlns:a16="http://schemas.microsoft.com/office/drawing/2014/main" id="{F614D059-CC15-46D4-8B52-760CFF430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9071</xdr:colOff>
      <xdr:row>9</xdr:row>
      <xdr:rowOff>108857</xdr:rowOff>
    </xdr:from>
    <xdr:to>
      <xdr:col>2</xdr:col>
      <xdr:colOff>511471</xdr:colOff>
      <xdr:row>20</xdr:row>
      <xdr:rowOff>54429</xdr:rowOff>
    </xdr:to>
    <mc:AlternateContent xmlns:mc="http://schemas.openxmlformats.org/markup-compatibility/2006" xmlns:a14="http://schemas.microsoft.com/office/drawing/2010/main">
      <mc:Choice Requires="a14">
        <xdr:graphicFrame macro="">
          <xdr:nvGraphicFramePr>
            <xdr:cNvPr id="103" name="Profit 1">
              <a:extLst>
                <a:ext uri="{FF2B5EF4-FFF2-40B4-BE49-F238E27FC236}">
                  <a16:creationId xmlns:a16="http://schemas.microsoft.com/office/drawing/2014/main" id="{26545402-36F1-40D8-AFC1-B657F71169D8}"/>
                </a:ext>
              </a:extLst>
            </xdr:cNvPr>
            <xdr:cNvGraphicFramePr/>
          </xdr:nvGraphicFramePr>
          <xdr:xfrm>
            <a:off x="0" y="0"/>
            <a:ext cx="0" cy="0"/>
          </xdr:xfrm>
          <a:graphic>
            <a:graphicData uri="http://schemas.microsoft.com/office/drawing/2010/slicer">
              <sle:slicer xmlns:sle="http://schemas.microsoft.com/office/drawing/2010/slicer" name="Profit 1"/>
            </a:graphicData>
          </a:graphic>
        </xdr:graphicFrame>
      </mc:Choice>
      <mc:Fallback xmlns="">
        <xdr:sp macro="" textlink="">
          <xdr:nvSpPr>
            <xdr:cNvPr id="0" name=""/>
            <xdr:cNvSpPr>
              <a:spLocks noTextEdit="1"/>
            </xdr:cNvSpPr>
          </xdr:nvSpPr>
          <xdr:spPr>
            <a:xfrm>
              <a:off x="9071" y="1741714"/>
              <a:ext cx="1832688" cy="19412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544286</xdr:colOff>
      <xdr:row>0</xdr:row>
      <xdr:rowOff>63500</xdr:rowOff>
    </xdr:from>
    <xdr:to>
      <xdr:col>16</xdr:col>
      <xdr:colOff>290286</xdr:colOff>
      <xdr:row>4</xdr:row>
      <xdr:rowOff>9072</xdr:rowOff>
    </xdr:to>
    <xdr:sp macro="" textlink="">
      <xdr:nvSpPr>
        <xdr:cNvPr id="105" name="TextBox 104">
          <a:extLst>
            <a:ext uri="{FF2B5EF4-FFF2-40B4-BE49-F238E27FC236}">
              <a16:creationId xmlns:a16="http://schemas.microsoft.com/office/drawing/2014/main" id="{88CE8744-EBB0-2D78-8FED-C57243EB1A32}"/>
            </a:ext>
          </a:extLst>
        </xdr:cNvPr>
        <xdr:cNvSpPr txBox="1"/>
      </xdr:nvSpPr>
      <xdr:spPr>
        <a:xfrm>
          <a:off x="2975429" y="63500"/>
          <a:ext cx="7039428" cy="67128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b="1">
              <a:solidFill>
                <a:schemeClr val="accent2">
                  <a:lumMod val="75000"/>
                </a:schemeClr>
              </a:solidFill>
            </a:rPr>
            <a:t>SALES DASHBOARD - 2026</a:t>
          </a:r>
        </a:p>
      </xdr:txBody>
    </xdr:sp>
    <xdr:clientData/>
  </xdr:twoCellAnchor>
  <xdr:twoCellAnchor>
    <xdr:from>
      <xdr:col>12</xdr:col>
      <xdr:colOff>450645</xdr:colOff>
      <xdr:row>6</xdr:row>
      <xdr:rowOff>81935</xdr:rowOff>
    </xdr:from>
    <xdr:to>
      <xdr:col>15</xdr:col>
      <xdr:colOff>81935</xdr:colOff>
      <xdr:row>8</xdr:row>
      <xdr:rowOff>40966</xdr:rowOff>
    </xdr:to>
    <xdr:sp macro="" textlink="">
      <xdr:nvSpPr>
        <xdr:cNvPr id="6" name="TextBox 5">
          <a:extLst>
            <a:ext uri="{FF2B5EF4-FFF2-40B4-BE49-F238E27FC236}">
              <a16:creationId xmlns:a16="http://schemas.microsoft.com/office/drawing/2014/main" id="{BA99DCC5-86D9-3B6C-C8E4-3B1893376ABF}"/>
            </a:ext>
          </a:extLst>
        </xdr:cNvPr>
        <xdr:cNvSpPr txBox="1"/>
      </xdr:nvSpPr>
      <xdr:spPr>
        <a:xfrm>
          <a:off x="7824839" y="1188064"/>
          <a:ext cx="1474838" cy="3277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rgbClr val="76B531"/>
              </a:solidFill>
              <a:effectLst/>
              <a:latin typeface="+mn-lt"/>
              <a:ea typeface="+mn-ea"/>
              <a:cs typeface="+mn-cs"/>
            </a:rPr>
            <a:t>₹ 1,04,02,675.00</a:t>
          </a:r>
          <a:r>
            <a:rPr lang="en-IN" sz="1400" b="1">
              <a:solidFill>
                <a:srgbClr val="76B531"/>
              </a:solidFill>
              <a:effectLst/>
            </a:rPr>
            <a:t> </a:t>
          </a:r>
          <a:endParaRPr lang="en-IN" sz="1400" b="1">
            <a:solidFill>
              <a:srgbClr val="76B53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bu R" refreshedDate="46087.501011458335" createdVersion="8" refreshedVersion="8" minRefreshableVersion="3" recordCount="99" xr:uid="{3DB369E0-7609-46BF-8B39-AEA27282B8B2}">
  <cacheSource type="worksheet">
    <worksheetSource name="Table7"/>
  </cacheSource>
  <cacheFields count="8">
    <cacheField name="Salesperson" numFmtId="0">
      <sharedItems count="6">
        <s v="Eva"/>
        <s v="Alice"/>
        <s v="Frank"/>
        <s v="Carlos"/>
        <s v="Diana"/>
        <s v="Bob"/>
      </sharedItems>
    </cacheField>
    <cacheField name="Region" numFmtId="0">
      <sharedItems count="5">
        <s v="East"/>
        <s v="South"/>
        <s v="North"/>
        <s v="West"/>
        <s v="Central" u="1"/>
      </sharedItems>
    </cacheField>
    <cacheField name="Product" numFmtId="0">
      <sharedItems count="7">
        <s v="Laptop"/>
        <s v="Phone"/>
        <s v="Desk"/>
        <s v="Chair"/>
        <s v="Monitor"/>
        <s v="Tablet"/>
        <s v="Printer"/>
      </sharedItems>
    </cacheField>
    <cacheField name="Units sold " numFmtId="0">
      <sharedItems containsSemiMixedTypes="0" containsString="0" containsNumber="1" containsInteger="1" minValue="1" maxValue="75"/>
    </cacheField>
    <cacheField name="UnitPrice" numFmtId="165">
      <sharedItems containsSemiMixedTypes="0" containsString="0" containsNumber="1" containsInteger="1" minValue="300" maxValue="100100"/>
    </cacheField>
    <cacheField name="Cost of goods" numFmtId="164">
      <sharedItems containsSemiMixedTypes="0" containsString="0" containsNumber="1" containsInteger="1" minValue="150" maxValue="70070"/>
    </cacheField>
    <cacheField name="Total Sales" numFmtId="164">
      <sharedItems containsSemiMixedTypes="0" containsString="0" containsNumber="1" containsInteger="1" minValue="900" maxValue="2402400"/>
    </cacheField>
    <cacheField name="Profit" numFmtId="164">
      <sharedItems containsSemiMixedTypes="0" containsString="0" containsNumber="1" containsInteger="1" minValue="450" maxValue="720720" count="99">
        <n v="720720"/>
        <n v="406875"/>
        <n v="22050"/>
        <n v="5400"/>
        <n v="28350"/>
        <n v="16800"/>
        <n v="1750"/>
        <n v="450"/>
        <n v="600"/>
        <n v="5175"/>
        <n v="3375"/>
        <n v="133000"/>
        <n v="8400"/>
        <n v="18240"/>
        <n v="8100"/>
        <n v="5100"/>
        <n v="314640"/>
        <n v="3960"/>
        <n v="80500"/>
        <n v="7560"/>
        <n v="113050"/>
        <n v="30100"/>
        <n v="274680"/>
        <n v="261000"/>
        <n v="18675"/>
        <n v="193830"/>
        <n v="6335"/>
        <n v="38220"/>
        <n v="16260"/>
        <n v="9800"/>
        <n v="135840"/>
        <n v="76930"/>
        <n v="19170"/>
        <n v="87975"/>
        <n v="21840"/>
        <n v="123760"/>
        <n v="19350"/>
        <n v="15050"/>
        <n v="103040"/>
        <n v="41100"/>
        <n v="35000"/>
        <n v="168800"/>
        <n v="216000"/>
        <n v="23200"/>
        <n v="39840"/>
        <n v="174720"/>
        <n v="9900"/>
        <n v="97920"/>
        <n v="23000"/>
        <n v="90720"/>
        <n v="82485"/>
        <n v="3300"/>
        <n v="16590"/>
        <n v="8680"/>
        <n v="128920"/>
        <n v="119680"/>
        <n v="208845"/>
        <n v="7750"/>
        <n v="147840"/>
        <n v="401220"/>
        <n v="469800"/>
        <n v="82040"/>
        <n v="6750"/>
        <n v="72000"/>
        <n v="41250"/>
        <n v="15855"/>
        <n v="93000"/>
        <n v="17600"/>
        <n v="6370"/>
        <n v="95200"/>
        <n v="181800"/>
        <n v="276000"/>
        <n v="67275"/>
        <n v="69160"/>
        <n v="212800"/>
        <n v="47700"/>
        <n v="202860"/>
        <n v="14000"/>
        <n v="164710"/>
        <n v="69840"/>
        <n v="68460"/>
        <n v="25200"/>
        <n v="114030"/>
        <n v="51840"/>
        <n v="41000"/>
        <n v="213520"/>
        <n v="292500"/>
        <n v="268000"/>
        <n v="367200"/>
        <n v="325800"/>
        <n v="130340"/>
        <n v="29520"/>
        <n v="27000"/>
        <n v="47250"/>
        <n v="122850"/>
        <n v="144840"/>
        <n v="5355"/>
        <n v="7500"/>
        <n v="513000"/>
      </sharedItems>
    </cacheField>
  </cacheFields>
  <extLst>
    <ext xmlns:x14="http://schemas.microsoft.com/office/spreadsheetml/2009/9/main" uri="{725AE2AE-9491-48be-B2B4-4EB974FC3084}">
      <x14:pivotCacheDefinition pivotCacheId="5041097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x v="0"/>
    <x v="0"/>
    <x v="0"/>
    <n v="24"/>
    <n v="100100"/>
    <n v="70070"/>
    <n v="2402400"/>
    <x v="0"/>
  </r>
  <r>
    <x v="1"/>
    <x v="1"/>
    <x v="1"/>
    <n v="75"/>
    <n v="15500"/>
    <n v="10075"/>
    <n v="1162500"/>
    <x v="1"/>
  </r>
  <r>
    <x v="1"/>
    <x v="2"/>
    <x v="2"/>
    <n v="14"/>
    <n v="3500"/>
    <n v="1925"/>
    <n v="49000"/>
    <x v="2"/>
  </r>
  <r>
    <x v="2"/>
    <x v="1"/>
    <x v="3"/>
    <n v="18"/>
    <n v="600"/>
    <n v="300"/>
    <n v="10800"/>
    <x v="3"/>
  </r>
  <r>
    <x v="3"/>
    <x v="0"/>
    <x v="2"/>
    <n v="18"/>
    <n v="3500"/>
    <n v="1925"/>
    <n v="63000"/>
    <x v="4"/>
  </r>
  <r>
    <x v="4"/>
    <x v="3"/>
    <x v="4"/>
    <n v="6"/>
    <n v="8000"/>
    <n v="5200"/>
    <n v="48000"/>
    <x v="5"/>
  </r>
  <r>
    <x v="1"/>
    <x v="1"/>
    <x v="3"/>
    <n v="7"/>
    <n v="500"/>
    <n v="250"/>
    <n v="3500"/>
    <x v="6"/>
  </r>
  <r>
    <x v="3"/>
    <x v="2"/>
    <x v="3"/>
    <n v="3"/>
    <n v="300"/>
    <n v="150"/>
    <n v="900"/>
    <x v="7"/>
  </r>
  <r>
    <x v="5"/>
    <x v="1"/>
    <x v="3"/>
    <n v="3"/>
    <n v="400"/>
    <n v="200"/>
    <n v="1200"/>
    <x v="8"/>
  </r>
  <r>
    <x v="2"/>
    <x v="3"/>
    <x v="2"/>
    <n v="5"/>
    <n v="2300"/>
    <n v="1265"/>
    <n v="11500"/>
    <x v="9"/>
  </r>
  <r>
    <x v="0"/>
    <x v="2"/>
    <x v="2"/>
    <n v="15"/>
    <n v="500"/>
    <n v="275"/>
    <n v="7500"/>
    <x v="10"/>
  </r>
  <r>
    <x v="0"/>
    <x v="0"/>
    <x v="1"/>
    <n v="19"/>
    <n v="20000"/>
    <n v="13000"/>
    <n v="380000"/>
    <x v="11"/>
  </r>
  <r>
    <x v="4"/>
    <x v="0"/>
    <x v="1"/>
    <n v="2"/>
    <n v="12000"/>
    <n v="7800"/>
    <n v="24000"/>
    <x v="12"/>
  </r>
  <r>
    <x v="3"/>
    <x v="3"/>
    <x v="5"/>
    <n v="1"/>
    <n v="45600"/>
    <n v="27360"/>
    <n v="45600"/>
    <x v="13"/>
  </r>
  <r>
    <x v="4"/>
    <x v="2"/>
    <x v="2"/>
    <n v="15"/>
    <n v="1200"/>
    <n v="660"/>
    <n v="18000"/>
    <x v="14"/>
  </r>
  <r>
    <x v="0"/>
    <x v="3"/>
    <x v="3"/>
    <n v="17"/>
    <n v="600"/>
    <n v="300"/>
    <n v="10200"/>
    <x v="15"/>
  </r>
  <r>
    <x v="5"/>
    <x v="3"/>
    <x v="0"/>
    <n v="19"/>
    <n v="55200"/>
    <n v="38640"/>
    <n v="1048800"/>
    <x v="16"/>
  </r>
  <r>
    <x v="4"/>
    <x v="2"/>
    <x v="2"/>
    <n v="11"/>
    <n v="800"/>
    <n v="440"/>
    <n v="8800"/>
    <x v="17"/>
  </r>
  <r>
    <x v="3"/>
    <x v="0"/>
    <x v="1"/>
    <n v="20"/>
    <n v="11500"/>
    <n v="7475"/>
    <n v="230000"/>
    <x v="18"/>
  </r>
  <r>
    <x v="3"/>
    <x v="3"/>
    <x v="2"/>
    <n v="14"/>
    <n v="1200"/>
    <n v="660"/>
    <n v="16800"/>
    <x v="19"/>
  </r>
  <r>
    <x v="4"/>
    <x v="3"/>
    <x v="1"/>
    <n v="10"/>
    <n v="32300"/>
    <n v="20995"/>
    <n v="323000"/>
    <x v="20"/>
  </r>
  <r>
    <x v="5"/>
    <x v="1"/>
    <x v="3"/>
    <n v="14"/>
    <n v="4300"/>
    <n v="2150"/>
    <n v="60200"/>
    <x v="21"/>
  </r>
  <r>
    <x v="3"/>
    <x v="2"/>
    <x v="0"/>
    <n v="14"/>
    <n v="65400"/>
    <n v="45780"/>
    <n v="915600"/>
    <x v="22"/>
  </r>
  <r>
    <x v="4"/>
    <x v="3"/>
    <x v="0"/>
    <n v="12"/>
    <n v="72500"/>
    <n v="50750"/>
    <n v="870000"/>
    <x v="23"/>
  </r>
  <r>
    <x v="0"/>
    <x v="2"/>
    <x v="2"/>
    <n v="5"/>
    <n v="8300"/>
    <n v="4565"/>
    <n v="41500"/>
    <x v="24"/>
  </r>
  <r>
    <x v="4"/>
    <x v="0"/>
    <x v="1"/>
    <n v="13"/>
    <n v="42600"/>
    <n v="27690"/>
    <n v="553800"/>
    <x v="25"/>
  </r>
  <r>
    <x v="2"/>
    <x v="3"/>
    <x v="1"/>
    <n v="1"/>
    <n v="18100"/>
    <n v="11765"/>
    <n v="18100"/>
    <x v="26"/>
  </r>
  <r>
    <x v="4"/>
    <x v="2"/>
    <x v="1"/>
    <n v="4"/>
    <n v="27300"/>
    <n v="17745"/>
    <n v="109200"/>
    <x v="27"/>
  </r>
  <r>
    <x v="3"/>
    <x v="1"/>
    <x v="0"/>
    <n v="1"/>
    <n v="54200"/>
    <n v="37940"/>
    <n v="54200"/>
    <x v="28"/>
  </r>
  <r>
    <x v="3"/>
    <x v="2"/>
    <x v="5"/>
    <n v="1"/>
    <n v="24500"/>
    <n v="14700"/>
    <n v="24500"/>
    <x v="29"/>
  </r>
  <r>
    <x v="2"/>
    <x v="2"/>
    <x v="5"/>
    <n v="12"/>
    <n v="28300"/>
    <n v="16980"/>
    <n v="339600"/>
    <x v="30"/>
  </r>
  <r>
    <x v="2"/>
    <x v="2"/>
    <x v="1"/>
    <n v="7"/>
    <n v="31400"/>
    <n v="20410"/>
    <n v="219800"/>
    <x v="31"/>
  </r>
  <r>
    <x v="3"/>
    <x v="1"/>
    <x v="2"/>
    <n v="6"/>
    <n v="7100"/>
    <n v="3905"/>
    <n v="42600"/>
    <x v="32"/>
  </r>
  <r>
    <x v="1"/>
    <x v="0"/>
    <x v="2"/>
    <n v="17"/>
    <n v="11500"/>
    <n v="6325"/>
    <n v="195500"/>
    <x v="33"/>
  </r>
  <r>
    <x v="4"/>
    <x v="2"/>
    <x v="4"/>
    <n v="4"/>
    <n v="15600"/>
    <n v="10140"/>
    <n v="62400"/>
    <x v="34"/>
  </r>
  <r>
    <x v="1"/>
    <x v="2"/>
    <x v="5"/>
    <n v="14"/>
    <n v="22100"/>
    <n v="13260"/>
    <n v="309400"/>
    <x v="35"/>
  </r>
  <r>
    <x v="3"/>
    <x v="1"/>
    <x v="3"/>
    <n v="9"/>
    <n v="4300"/>
    <n v="2150"/>
    <n v="38700"/>
    <x v="36"/>
  </r>
  <r>
    <x v="4"/>
    <x v="1"/>
    <x v="3"/>
    <n v="7"/>
    <n v="4300"/>
    <n v="2150"/>
    <n v="30100"/>
    <x v="37"/>
  </r>
  <r>
    <x v="5"/>
    <x v="0"/>
    <x v="6"/>
    <n v="14"/>
    <n v="18400"/>
    <n v="11040"/>
    <n v="257600"/>
    <x v="38"/>
  </r>
  <r>
    <x v="1"/>
    <x v="0"/>
    <x v="0"/>
    <n v="2"/>
    <n v="68500"/>
    <n v="47950"/>
    <n v="137000"/>
    <x v="39"/>
  </r>
  <r>
    <x v="0"/>
    <x v="1"/>
    <x v="6"/>
    <n v="5"/>
    <n v="17500"/>
    <n v="10500"/>
    <n v="87500"/>
    <x v="40"/>
  </r>
  <r>
    <x v="0"/>
    <x v="3"/>
    <x v="6"/>
    <n v="20"/>
    <n v="21100"/>
    <n v="12660"/>
    <n v="422000"/>
    <x v="41"/>
  </r>
  <r>
    <x v="0"/>
    <x v="1"/>
    <x v="0"/>
    <n v="12"/>
    <n v="60000"/>
    <n v="42000"/>
    <n v="720000"/>
    <x v="42"/>
  </r>
  <r>
    <x v="3"/>
    <x v="2"/>
    <x v="6"/>
    <n v="4"/>
    <n v="14500"/>
    <n v="8700"/>
    <n v="58000"/>
    <x v="43"/>
  </r>
  <r>
    <x v="0"/>
    <x v="1"/>
    <x v="0"/>
    <n v="2"/>
    <n v="66400"/>
    <n v="46480"/>
    <n v="132800"/>
    <x v="44"/>
  </r>
  <r>
    <x v="1"/>
    <x v="1"/>
    <x v="5"/>
    <n v="16"/>
    <n v="27300"/>
    <n v="16380"/>
    <n v="436800"/>
    <x v="45"/>
  </r>
  <r>
    <x v="2"/>
    <x v="3"/>
    <x v="3"/>
    <n v="11"/>
    <n v="3000"/>
    <n v="2100"/>
    <n v="33000"/>
    <x v="46"/>
  </r>
  <r>
    <x v="2"/>
    <x v="0"/>
    <x v="5"/>
    <n v="8"/>
    <n v="30600"/>
    <n v="18360"/>
    <n v="244800"/>
    <x v="47"/>
  </r>
  <r>
    <x v="0"/>
    <x v="2"/>
    <x v="2"/>
    <n v="5"/>
    <n v="9200"/>
    <n v="4600"/>
    <n v="46000"/>
    <x v="48"/>
  </r>
  <r>
    <x v="1"/>
    <x v="3"/>
    <x v="4"/>
    <n v="14"/>
    <n v="16200"/>
    <n v="9720"/>
    <n v="226800"/>
    <x v="49"/>
  </r>
  <r>
    <x v="2"/>
    <x v="0"/>
    <x v="4"/>
    <n v="13"/>
    <n v="14100"/>
    <n v="7755"/>
    <n v="183300"/>
    <x v="50"/>
  </r>
  <r>
    <x v="1"/>
    <x v="3"/>
    <x v="3"/>
    <n v="2"/>
    <n v="3300"/>
    <n v="1650"/>
    <n v="6600"/>
    <x v="51"/>
  </r>
  <r>
    <x v="0"/>
    <x v="1"/>
    <x v="0"/>
    <n v="1"/>
    <n v="55300"/>
    <n v="38710"/>
    <n v="55300"/>
    <x v="52"/>
  </r>
  <r>
    <x v="5"/>
    <x v="1"/>
    <x v="4"/>
    <n v="2"/>
    <n v="12400"/>
    <n v="8060"/>
    <n v="24800"/>
    <x v="53"/>
  </r>
  <r>
    <x v="4"/>
    <x v="3"/>
    <x v="5"/>
    <n v="11"/>
    <n v="29300"/>
    <n v="17580"/>
    <n v="322300"/>
    <x v="54"/>
  </r>
  <r>
    <x v="0"/>
    <x v="0"/>
    <x v="5"/>
    <n v="11"/>
    <n v="27200"/>
    <n v="16320"/>
    <n v="299200"/>
    <x v="55"/>
  </r>
  <r>
    <x v="3"/>
    <x v="0"/>
    <x v="1"/>
    <n v="17"/>
    <n v="35100"/>
    <n v="22815"/>
    <n v="596700"/>
    <x v="56"/>
  </r>
  <r>
    <x v="0"/>
    <x v="0"/>
    <x v="3"/>
    <n v="5"/>
    <n v="3100"/>
    <n v="1550"/>
    <n v="15500"/>
    <x v="57"/>
  </r>
  <r>
    <x v="5"/>
    <x v="1"/>
    <x v="1"/>
    <n v="11"/>
    <n v="38400"/>
    <n v="24960"/>
    <n v="422400"/>
    <x v="58"/>
  </r>
  <r>
    <x v="5"/>
    <x v="1"/>
    <x v="0"/>
    <n v="18"/>
    <n v="74300"/>
    <n v="52010"/>
    <n v="1337400"/>
    <x v="59"/>
  </r>
  <r>
    <x v="2"/>
    <x v="3"/>
    <x v="0"/>
    <n v="20"/>
    <n v="78300"/>
    <n v="54810"/>
    <n v="1566000"/>
    <x v="60"/>
  </r>
  <r>
    <x v="0"/>
    <x v="2"/>
    <x v="1"/>
    <n v="8"/>
    <n v="29300"/>
    <n v="19045"/>
    <n v="234400"/>
    <x v="61"/>
  </r>
  <r>
    <x v="1"/>
    <x v="1"/>
    <x v="3"/>
    <n v="3"/>
    <n v="4500"/>
    <n v="2250"/>
    <n v="13500"/>
    <x v="62"/>
  </r>
  <r>
    <x v="5"/>
    <x v="2"/>
    <x v="2"/>
    <n v="16"/>
    <n v="10000"/>
    <n v="5500"/>
    <n v="160000"/>
    <x v="63"/>
  </r>
  <r>
    <x v="2"/>
    <x v="1"/>
    <x v="3"/>
    <n v="15"/>
    <n v="5500"/>
    <n v="2750"/>
    <n v="82500"/>
    <x v="64"/>
  </r>
  <r>
    <x v="2"/>
    <x v="3"/>
    <x v="4"/>
    <n v="3"/>
    <n v="15100"/>
    <n v="9815"/>
    <n v="45300"/>
    <x v="65"/>
  </r>
  <r>
    <x v="2"/>
    <x v="3"/>
    <x v="5"/>
    <n v="5"/>
    <n v="46500"/>
    <n v="27900"/>
    <n v="232500"/>
    <x v="66"/>
  </r>
  <r>
    <x v="3"/>
    <x v="1"/>
    <x v="3"/>
    <n v="8"/>
    <n v="4400"/>
    <n v="2200"/>
    <n v="35200"/>
    <x v="67"/>
  </r>
  <r>
    <x v="5"/>
    <x v="2"/>
    <x v="1"/>
    <n v="1"/>
    <n v="18200"/>
    <n v="11830"/>
    <n v="18200"/>
    <x v="68"/>
  </r>
  <r>
    <x v="3"/>
    <x v="1"/>
    <x v="4"/>
    <n v="16"/>
    <n v="17000"/>
    <n v="11050"/>
    <n v="272000"/>
    <x v="69"/>
  </r>
  <r>
    <x v="1"/>
    <x v="0"/>
    <x v="5"/>
    <n v="15"/>
    <n v="30300"/>
    <n v="18180"/>
    <n v="454500"/>
    <x v="70"/>
  </r>
  <r>
    <x v="0"/>
    <x v="3"/>
    <x v="5"/>
    <n v="20"/>
    <n v="34500"/>
    <n v="20700"/>
    <n v="690000"/>
    <x v="71"/>
  </r>
  <r>
    <x v="3"/>
    <x v="1"/>
    <x v="2"/>
    <n v="13"/>
    <n v="11500"/>
    <n v="6325"/>
    <n v="149500"/>
    <x v="72"/>
  </r>
  <r>
    <x v="1"/>
    <x v="1"/>
    <x v="4"/>
    <n v="13"/>
    <n v="15200"/>
    <n v="9880"/>
    <n v="197600"/>
    <x v="73"/>
  </r>
  <r>
    <x v="4"/>
    <x v="0"/>
    <x v="5"/>
    <n v="19"/>
    <n v="28000"/>
    <n v="16800"/>
    <n v="532000"/>
    <x v="74"/>
  </r>
  <r>
    <x v="0"/>
    <x v="3"/>
    <x v="2"/>
    <n v="10"/>
    <n v="10600"/>
    <n v="5830"/>
    <n v="106000"/>
    <x v="75"/>
  </r>
  <r>
    <x v="5"/>
    <x v="1"/>
    <x v="1"/>
    <n v="14"/>
    <n v="41400"/>
    <n v="26910"/>
    <n v="579600"/>
    <x v="76"/>
  </r>
  <r>
    <x v="1"/>
    <x v="1"/>
    <x v="3"/>
    <n v="5"/>
    <n v="5600"/>
    <n v="2800"/>
    <n v="28000"/>
    <x v="77"/>
  </r>
  <r>
    <x v="3"/>
    <x v="0"/>
    <x v="1"/>
    <n v="13"/>
    <n v="36200"/>
    <n v="23530"/>
    <n v="470600"/>
    <x v="78"/>
  </r>
  <r>
    <x v="1"/>
    <x v="2"/>
    <x v="6"/>
    <n v="9"/>
    <n v="19400"/>
    <n v="11640"/>
    <n v="174600"/>
    <x v="79"/>
  </r>
  <r>
    <x v="1"/>
    <x v="2"/>
    <x v="1"/>
    <n v="4"/>
    <n v="48900"/>
    <n v="31785"/>
    <n v="195600"/>
    <x v="80"/>
  </r>
  <r>
    <x v="2"/>
    <x v="0"/>
    <x v="4"/>
    <n v="5"/>
    <n v="14400"/>
    <n v="9360"/>
    <n v="72000"/>
    <x v="81"/>
  </r>
  <r>
    <x v="5"/>
    <x v="3"/>
    <x v="4"/>
    <n v="18"/>
    <n v="18100"/>
    <n v="11765"/>
    <n v="325800"/>
    <x v="82"/>
  </r>
  <r>
    <x v="5"/>
    <x v="0"/>
    <x v="2"/>
    <n v="12"/>
    <n v="9600"/>
    <n v="5280"/>
    <n v="115200"/>
    <x v="83"/>
  </r>
  <r>
    <x v="4"/>
    <x v="0"/>
    <x v="3"/>
    <n v="20"/>
    <n v="4100"/>
    <n v="2050"/>
    <n v="82000"/>
    <x v="84"/>
  </r>
  <r>
    <x v="0"/>
    <x v="0"/>
    <x v="5"/>
    <n v="17"/>
    <n v="31400"/>
    <n v="18840"/>
    <n v="533800"/>
    <x v="85"/>
  </r>
  <r>
    <x v="5"/>
    <x v="0"/>
    <x v="0"/>
    <n v="15"/>
    <n v="65000"/>
    <n v="45500"/>
    <n v="975000"/>
    <x v="86"/>
  </r>
  <r>
    <x v="5"/>
    <x v="1"/>
    <x v="5"/>
    <n v="20"/>
    <n v="33500"/>
    <n v="20100"/>
    <n v="670000"/>
    <x v="87"/>
  </r>
  <r>
    <x v="2"/>
    <x v="2"/>
    <x v="0"/>
    <n v="16"/>
    <n v="76500"/>
    <n v="53550"/>
    <n v="1224000"/>
    <x v="88"/>
  </r>
  <r>
    <x v="5"/>
    <x v="3"/>
    <x v="0"/>
    <n v="15"/>
    <n v="72400"/>
    <n v="50680"/>
    <n v="1086000"/>
    <x v="89"/>
  </r>
  <r>
    <x v="3"/>
    <x v="2"/>
    <x v="4"/>
    <n v="19"/>
    <n v="19600"/>
    <n v="12740"/>
    <n v="372400"/>
    <x v="90"/>
  </r>
  <r>
    <x v="3"/>
    <x v="2"/>
    <x v="2"/>
    <n v="8"/>
    <n v="8200"/>
    <n v="4510"/>
    <n v="65600"/>
    <x v="91"/>
  </r>
  <r>
    <x v="4"/>
    <x v="2"/>
    <x v="3"/>
    <n v="12"/>
    <n v="4500"/>
    <n v="2250"/>
    <n v="54000"/>
    <x v="92"/>
  </r>
  <r>
    <x v="5"/>
    <x v="0"/>
    <x v="2"/>
    <n v="10"/>
    <n v="10500"/>
    <n v="5775"/>
    <n v="105000"/>
    <x v="93"/>
  </r>
  <r>
    <x v="1"/>
    <x v="2"/>
    <x v="0"/>
    <n v="7"/>
    <n v="58500"/>
    <n v="40950"/>
    <n v="409500"/>
    <x v="94"/>
  </r>
  <r>
    <x v="0"/>
    <x v="3"/>
    <x v="6"/>
    <n v="17"/>
    <n v="21300"/>
    <n v="12780"/>
    <n v="362100"/>
    <x v="95"/>
  </r>
  <r>
    <x v="0"/>
    <x v="1"/>
    <x v="4"/>
    <n v="1"/>
    <n v="15300"/>
    <n v="9945"/>
    <n v="15300"/>
    <x v="96"/>
  </r>
  <r>
    <x v="5"/>
    <x v="2"/>
    <x v="3"/>
    <n v="10"/>
    <n v="1500"/>
    <n v="750"/>
    <n v="15000"/>
    <x v="97"/>
  </r>
  <r>
    <x v="1"/>
    <x v="3"/>
    <x v="0"/>
    <n v="20"/>
    <n v="85500"/>
    <n v="59850"/>
    <n v="1710000"/>
    <x v="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400E43-6D5C-4DAD-8ED8-06D5A01FA0E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G3:H10" firstHeaderRow="1" firstDataRow="1" firstDataCol="1"/>
  <pivotFields count="8">
    <pivotField axis="axisRow" showAll="0">
      <items count="7">
        <item x="1"/>
        <item x="5"/>
        <item x="3"/>
        <item x="4"/>
        <item x="0"/>
        <item x="2"/>
        <item t="default"/>
      </items>
    </pivotField>
    <pivotField showAll="0">
      <items count="6">
        <item h="1" m="1" x="4"/>
        <item h="1" x="0"/>
        <item h="1" x="2"/>
        <item h="1" x="1"/>
        <item x="3"/>
        <item t="default"/>
      </items>
    </pivotField>
    <pivotField showAll="0">
      <items count="8">
        <item x="0"/>
        <item x="5"/>
        <item x="3"/>
        <item x="2"/>
        <item x="4"/>
        <item x="1"/>
        <item x="6"/>
        <item t="default"/>
      </items>
    </pivotField>
    <pivotField showAll="0"/>
    <pivotField numFmtId="165" showAll="0"/>
    <pivotField numFmtId="164" showAll="0"/>
    <pivotField dataField="1" numFmtId="164" showAll="0"/>
    <pivotField numFmtId="164" showAll="0">
      <items count="100">
        <item x="7"/>
        <item x="8"/>
        <item x="6"/>
        <item x="51"/>
        <item x="10"/>
        <item x="17"/>
        <item x="15"/>
        <item x="9"/>
        <item x="96"/>
        <item x="3"/>
        <item x="26"/>
        <item x="68"/>
        <item x="62"/>
        <item x="97"/>
        <item x="19"/>
        <item x="57"/>
        <item x="14"/>
        <item x="12"/>
        <item x="53"/>
        <item x="29"/>
        <item x="46"/>
        <item x="77"/>
        <item x="37"/>
        <item x="65"/>
        <item x="28"/>
        <item x="52"/>
        <item x="5"/>
        <item x="67"/>
        <item x="13"/>
        <item x="24"/>
        <item x="32"/>
        <item x="36"/>
        <item x="34"/>
        <item x="2"/>
        <item x="48"/>
        <item x="43"/>
        <item x="81"/>
        <item x="92"/>
        <item x="4"/>
        <item x="91"/>
        <item x="21"/>
        <item x="40"/>
        <item x="27"/>
        <item x="44"/>
        <item x="84"/>
        <item x="39"/>
        <item x="64"/>
        <item x="93"/>
        <item x="75"/>
        <item x="83"/>
        <item x="72"/>
        <item x="80"/>
        <item x="73"/>
        <item x="79"/>
        <item x="63"/>
        <item x="31"/>
        <item x="18"/>
        <item x="61"/>
        <item x="50"/>
        <item x="33"/>
        <item x="49"/>
        <item x="66"/>
        <item x="69"/>
        <item x="47"/>
        <item x="38"/>
        <item x="20"/>
        <item x="82"/>
        <item x="55"/>
        <item x="94"/>
        <item x="35"/>
        <item x="54"/>
        <item x="90"/>
        <item x="11"/>
        <item x="30"/>
        <item x="95"/>
        <item x="58"/>
        <item x="78"/>
        <item x="41"/>
        <item x="45"/>
        <item x="70"/>
        <item x="25"/>
        <item x="76"/>
        <item x="56"/>
        <item x="74"/>
        <item x="85"/>
        <item x="42"/>
        <item x="23"/>
        <item x="87"/>
        <item x="22"/>
        <item x="71"/>
        <item x="86"/>
        <item x="16"/>
        <item x="89"/>
        <item x="88"/>
        <item x="59"/>
        <item x="1"/>
        <item x="60"/>
        <item x="98"/>
        <item x="0"/>
        <item t="default"/>
      </items>
    </pivotField>
  </pivotFields>
  <rowFields count="1">
    <field x="0"/>
  </rowFields>
  <rowItems count="7">
    <i>
      <x/>
    </i>
    <i>
      <x v="1"/>
    </i>
    <i>
      <x v="2"/>
    </i>
    <i>
      <x v="3"/>
    </i>
    <i>
      <x v="4"/>
    </i>
    <i>
      <x v="5"/>
    </i>
    <i t="grand">
      <x/>
    </i>
  </rowItems>
  <colItems count="1">
    <i/>
  </colItems>
  <dataFields count="1">
    <dataField name="Sum of Total Sales" fld="6" baseField="0" baseItem="3" numFmtId="166"/>
  </dataFields>
  <chartFormats count="2">
    <chartFormat chart="0"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64DB8C-D734-433B-81A2-E7232FB04C3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3:E11" firstHeaderRow="1" firstDataRow="1" firstDataCol="1"/>
  <pivotFields count="8">
    <pivotField showAll="0">
      <items count="7">
        <item x="1"/>
        <item x="5"/>
        <item x="3"/>
        <item x="4"/>
        <item x="0"/>
        <item x="2"/>
        <item t="default"/>
      </items>
    </pivotField>
    <pivotField showAll="0">
      <items count="6">
        <item h="1" m="1" x="4"/>
        <item h="1" x="0"/>
        <item h="1" x="2"/>
        <item h="1" x="1"/>
        <item x="3"/>
        <item t="default"/>
      </items>
    </pivotField>
    <pivotField axis="axisRow" showAll="0">
      <items count="8">
        <item x="0"/>
        <item x="5"/>
        <item x="3"/>
        <item x="2"/>
        <item x="4"/>
        <item x="1"/>
        <item x="6"/>
        <item t="default"/>
      </items>
    </pivotField>
    <pivotField showAll="0"/>
    <pivotField numFmtId="165" showAll="0"/>
    <pivotField numFmtId="164" showAll="0"/>
    <pivotField dataField="1" numFmtId="164" showAll="0"/>
    <pivotField numFmtId="164" showAll="0">
      <items count="100">
        <item x="7"/>
        <item x="8"/>
        <item x="6"/>
        <item x="51"/>
        <item x="10"/>
        <item x="17"/>
        <item x="15"/>
        <item x="9"/>
        <item x="96"/>
        <item x="3"/>
        <item x="26"/>
        <item x="68"/>
        <item x="62"/>
        <item x="97"/>
        <item x="19"/>
        <item x="57"/>
        <item x="14"/>
        <item x="12"/>
        <item x="53"/>
        <item x="29"/>
        <item x="46"/>
        <item x="77"/>
        <item x="37"/>
        <item x="65"/>
        <item x="28"/>
        <item x="52"/>
        <item x="5"/>
        <item x="67"/>
        <item x="13"/>
        <item x="24"/>
        <item x="32"/>
        <item x="36"/>
        <item x="34"/>
        <item x="2"/>
        <item x="48"/>
        <item x="43"/>
        <item x="81"/>
        <item x="92"/>
        <item x="4"/>
        <item x="91"/>
        <item x="21"/>
        <item x="40"/>
        <item x="27"/>
        <item x="44"/>
        <item x="84"/>
        <item x="39"/>
        <item x="64"/>
        <item x="93"/>
        <item x="75"/>
        <item x="83"/>
        <item x="72"/>
        <item x="80"/>
        <item x="73"/>
        <item x="79"/>
        <item x="63"/>
        <item x="31"/>
        <item x="18"/>
        <item x="61"/>
        <item x="50"/>
        <item x="33"/>
        <item x="49"/>
        <item x="66"/>
        <item x="69"/>
        <item x="47"/>
        <item x="38"/>
        <item x="20"/>
        <item x="82"/>
        <item x="55"/>
        <item x="94"/>
        <item x="35"/>
        <item x="54"/>
        <item x="90"/>
        <item x="11"/>
        <item x="30"/>
        <item x="95"/>
        <item x="58"/>
        <item x="78"/>
        <item x="41"/>
        <item x="45"/>
        <item x="70"/>
        <item x="25"/>
        <item x="76"/>
        <item x="56"/>
        <item x="74"/>
        <item x="85"/>
        <item x="42"/>
        <item x="23"/>
        <item x="87"/>
        <item x="22"/>
        <item x="71"/>
        <item x="86"/>
        <item x="16"/>
        <item x="89"/>
        <item x="88"/>
        <item x="59"/>
        <item x="1"/>
        <item x="60"/>
        <item x="98"/>
        <item x="0"/>
        <item t="default"/>
      </items>
    </pivotField>
  </pivotFields>
  <rowFields count="1">
    <field x="2"/>
  </rowFields>
  <rowItems count="8">
    <i>
      <x/>
    </i>
    <i>
      <x v="1"/>
    </i>
    <i>
      <x v="2"/>
    </i>
    <i>
      <x v="3"/>
    </i>
    <i>
      <x v="4"/>
    </i>
    <i>
      <x v="5"/>
    </i>
    <i>
      <x v="6"/>
    </i>
    <i t="grand">
      <x/>
    </i>
  </rowItems>
  <colItems count="1">
    <i/>
  </colItems>
  <dataFields count="1">
    <dataField name="Sum of Total Sales" fld="6" baseField="2" baseItem="3" numFmtId="166"/>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5"/>
          </reference>
        </references>
      </pivotArea>
    </chartFormat>
    <chartFormat chart="0" format="2">
      <pivotArea type="data" outline="0" fieldPosition="0">
        <references count="2">
          <reference field="4294967294" count="1" selected="0">
            <x v="0"/>
          </reference>
          <reference field="2" count="1" selected="0">
            <x v="6"/>
          </reference>
        </references>
      </pivotArea>
    </chartFormat>
    <chartFormat chart="0" format="3">
      <pivotArea type="data" outline="0" fieldPosition="0">
        <references count="2">
          <reference field="4294967294" count="1" selected="0">
            <x v="0"/>
          </reference>
          <reference field="2" count="1" selected="0">
            <x v="4"/>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124ACE-7795-47B3-9E2B-5726CFB4A17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5" firstHeaderRow="1" firstDataRow="1" firstDataCol="1"/>
  <pivotFields count="8">
    <pivotField showAll="0">
      <items count="7">
        <item x="1"/>
        <item x="5"/>
        <item x="3"/>
        <item x="4"/>
        <item x="0"/>
        <item x="2"/>
        <item t="default"/>
      </items>
    </pivotField>
    <pivotField axis="axisRow" showAll="0">
      <items count="6">
        <item h="1" m="1" x="4"/>
        <item h="1" x="0"/>
        <item h="1" x="2"/>
        <item h="1" x="1"/>
        <item x="3"/>
        <item t="default"/>
      </items>
    </pivotField>
    <pivotField showAll="0">
      <items count="8">
        <item x="0"/>
        <item x="5"/>
        <item x="3"/>
        <item x="2"/>
        <item x="4"/>
        <item x="1"/>
        <item x="6"/>
        <item t="default"/>
      </items>
    </pivotField>
    <pivotField showAll="0"/>
    <pivotField numFmtId="165" showAll="0"/>
    <pivotField numFmtId="164" showAll="0"/>
    <pivotField dataField="1" numFmtId="164" showAll="0"/>
    <pivotField numFmtId="164" showAll="0">
      <items count="100">
        <item x="7"/>
        <item x="8"/>
        <item x="6"/>
        <item x="51"/>
        <item x="10"/>
        <item x="17"/>
        <item x="15"/>
        <item x="9"/>
        <item x="96"/>
        <item x="3"/>
        <item x="26"/>
        <item x="68"/>
        <item x="62"/>
        <item x="97"/>
        <item x="19"/>
        <item x="57"/>
        <item x="14"/>
        <item x="12"/>
        <item x="53"/>
        <item x="29"/>
        <item x="46"/>
        <item x="77"/>
        <item x="37"/>
        <item x="65"/>
        <item x="28"/>
        <item x="52"/>
        <item x="5"/>
        <item x="67"/>
        <item x="13"/>
        <item x="24"/>
        <item x="32"/>
        <item x="36"/>
        <item x="34"/>
        <item x="2"/>
        <item x="48"/>
        <item x="43"/>
        <item x="81"/>
        <item x="92"/>
        <item x="4"/>
        <item x="91"/>
        <item x="21"/>
        <item x="40"/>
        <item x="27"/>
        <item x="44"/>
        <item x="84"/>
        <item x="39"/>
        <item x="64"/>
        <item x="93"/>
        <item x="75"/>
        <item x="83"/>
        <item x="72"/>
        <item x="80"/>
        <item x="73"/>
        <item x="79"/>
        <item x="63"/>
        <item x="31"/>
        <item x="18"/>
        <item x="61"/>
        <item x="50"/>
        <item x="33"/>
        <item x="49"/>
        <item x="66"/>
        <item x="69"/>
        <item x="47"/>
        <item x="38"/>
        <item x="20"/>
        <item x="82"/>
        <item x="55"/>
        <item x="94"/>
        <item x="35"/>
        <item x="54"/>
        <item x="90"/>
        <item x="11"/>
        <item x="30"/>
        <item x="95"/>
        <item x="58"/>
        <item x="78"/>
        <item x="41"/>
        <item x="45"/>
        <item x="70"/>
        <item x="25"/>
        <item x="76"/>
        <item x="56"/>
        <item x="74"/>
        <item x="85"/>
        <item x="42"/>
        <item x="23"/>
        <item x="87"/>
        <item x="22"/>
        <item x="71"/>
        <item x="86"/>
        <item x="16"/>
        <item x="89"/>
        <item x="88"/>
        <item x="59"/>
        <item x="1"/>
        <item x="60"/>
        <item x="98"/>
        <item x="0"/>
        <item t="default"/>
      </items>
    </pivotField>
  </pivotFields>
  <rowFields count="1">
    <field x="1"/>
  </rowFields>
  <rowItems count="2">
    <i>
      <x v="4"/>
    </i>
    <i t="grand">
      <x/>
    </i>
  </rowItems>
  <colItems count="1">
    <i/>
  </colItems>
  <dataFields count="1">
    <dataField name="Sum of Total Sales" fld="6" baseField="1" baseItem="2" numFmtId="166"/>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 chart="0" format="2">
      <pivotArea type="data" outline="0" fieldPosition="0">
        <references count="2">
          <reference field="4294967294" count="1" selected="0">
            <x v="0"/>
          </reference>
          <reference field="1" count="1" selected="0">
            <x v="4"/>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2">
          <reference field="4294967294" count="1" selected="0">
            <x v="0"/>
          </reference>
          <reference field="1" count="1" selected="0">
            <x v="2"/>
          </reference>
        </references>
      </pivotArea>
    </chartFormat>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1" count="1" selected="0">
            <x v="1"/>
          </reference>
        </references>
      </pivotArea>
    </chartFormat>
    <chartFormat chart="12" format="12">
      <pivotArea type="data" outline="0" fieldPosition="0">
        <references count="2">
          <reference field="4294967294" count="1" selected="0">
            <x v="0"/>
          </reference>
          <reference field="1" count="1" selected="0">
            <x v="2"/>
          </reference>
        </references>
      </pivotArea>
    </chartFormat>
    <chartFormat chart="12" format="13">
      <pivotArea type="data" outline="0" fieldPosition="0">
        <references count="2">
          <reference field="4294967294" count="1" selected="0">
            <x v="0"/>
          </reference>
          <reference field="1" count="1" selected="0">
            <x v="3"/>
          </reference>
        </references>
      </pivotArea>
    </chartFormat>
    <chartFormat chart="12" format="14">
      <pivotArea type="data" outline="0" fieldPosition="0">
        <references count="2">
          <reference field="4294967294" count="1" selected="0">
            <x v="0"/>
          </reference>
          <reference field="1" count="1" selected="0">
            <x v="4"/>
          </reference>
        </references>
      </pivotArea>
    </chartFormat>
    <chartFormat chart="0"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2F534F-1503-424B-80D6-521AE53B3E3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J3:K11" firstHeaderRow="1" firstDataRow="1" firstDataCol="1"/>
  <pivotFields count="8">
    <pivotField showAll="0">
      <items count="7">
        <item x="1"/>
        <item x="5"/>
        <item x="3"/>
        <item x="4"/>
        <item x="0"/>
        <item x="2"/>
        <item t="default"/>
      </items>
    </pivotField>
    <pivotField showAll="0">
      <items count="6">
        <item h="1" m="1" x="4"/>
        <item h="1" x="0"/>
        <item h="1" x="2"/>
        <item h="1" x="1"/>
        <item x="3"/>
        <item t="default"/>
      </items>
    </pivotField>
    <pivotField axis="axisRow" showAll="0">
      <items count="8">
        <item x="0"/>
        <item x="5"/>
        <item x="3"/>
        <item x="2"/>
        <item x="4"/>
        <item x="1"/>
        <item x="6"/>
        <item t="default"/>
      </items>
    </pivotField>
    <pivotField dataField="1" showAll="0"/>
    <pivotField numFmtId="165" showAll="0"/>
    <pivotField numFmtId="164" showAll="0"/>
    <pivotField numFmtId="164" showAll="0"/>
    <pivotField numFmtId="164" showAll="0">
      <items count="100">
        <item x="7"/>
        <item x="8"/>
        <item x="6"/>
        <item x="51"/>
        <item x="10"/>
        <item x="17"/>
        <item x="15"/>
        <item x="9"/>
        <item x="96"/>
        <item x="3"/>
        <item x="26"/>
        <item x="68"/>
        <item x="62"/>
        <item x="97"/>
        <item x="19"/>
        <item x="57"/>
        <item x="14"/>
        <item x="12"/>
        <item x="53"/>
        <item x="29"/>
        <item x="46"/>
        <item x="77"/>
        <item x="37"/>
        <item x="65"/>
        <item x="28"/>
        <item x="52"/>
        <item x="5"/>
        <item x="67"/>
        <item x="13"/>
        <item x="24"/>
        <item x="32"/>
        <item x="36"/>
        <item x="34"/>
        <item x="2"/>
        <item x="48"/>
        <item x="43"/>
        <item x="81"/>
        <item x="92"/>
        <item x="4"/>
        <item x="91"/>
        <item x="21"/>
        <item x="40"/>
        <item x="27"/>
        <item x="44"/>
        <item x="84"/>
        <item x="39"/>
        <item x="64"/>
        <item x="93"/>
        <item x="75"/>
        <item x="83"/>
        <item x="72"/>
        <item x="80"/>
        <item x="73"/>
        <item x="79"/>
        <item x="63"/>
        <item x="31"/>
        <item x="18"/>
        <item x="61"/>
        <item x="50"/>
        <item x="33"/>
        <item x="49"/>
        <item x="66"/>
        <item x="69"/>
        <item x="47"/>
        <item x="38"/>
        <item x="20"/>
        <item x="82"/>
        <item x="55"/>
        <item x="94"/>
        <item x="35"/>
        <item x="54"/>
        <item x="90"/>
        <item x="11"/>
        <item x="30"/>
        <item x="95"/>
        <item x="58"/>
        <item x="78"/>
        <item x="41"/>
        <item x="45"/>
        <item x="70"/>
        <item x="25"/>
        <item x="76"/>
        <item x="56"/>
        <item x="74"/>
        <item x="85"/>
        <item x="42"/>
        <item x="23"/>
        <item x="87"/>
        <item x="22"/>
        <item x="71"/>
        <item x="86"/>
        <item x="16"/>
        <item x="89"/>
        <item x="88"/>
        <item x="59"/>
        <item x="1"/>
        <item x="60"/>
        <item x="98"/>
        <item x="0"/>
        <item t="default"/>
      </items>
    </pivotField>
  </pivotFields>
  <rowFields count="1">
    <field x="2"/>
  </rowFields>
  <rowItems count="8">
    <i>
      <x/>
    </i>
    <i>
      <x v="1"/>
    </i>
    <i>
      <x v="2"/>
    </i>
    <i>
      <x v="3"/>
    </i>
    <i>
      <x v="4"/>
    </i>
    <i>
      <x v="5"/>
    </i>
    <i>
      <x v="6"/>
    </i>
    <i t="grand">
      <x/>
    </i>
  </rowItems>
  <colItems count="1">
    <i/>
  </colItems>
  <dataFields count="1">
    <dataField name="Sum of Units sold " fld="3"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6"/>
          </reference>
        </references>
      </pivotArea>
    </chartFormat>
    <chartFormat chart="26" format="4" series="1">
      <pivotArea type="data" outline="0" fieldPosition="0">
        <references count="1">
          <reference field="4294967294" count="1" selected="0">
            <x v="0"/>
          </reference>
        </references>
      </pivotArea>
    </chartFormat>
    <chartFormat chart="26" format="5">
      <pivotArea type="data" outline="0" fieldPosition="0">
        <references count="2">
          <reference field="4294967294" count="1" selected="0">
            <x v="0"/>
          </reference>
          <reference field="2" count="1" selected="0">
            <x v="6"/>
          </reference>
        </references>
      </pivotArea>
    </chartFormat>
    <chartFormat chart="33" format="4" series="1">
      <pivotArea type="data" outline="0" fieldPosition="0">
        <references count="1">
          <reference field="4294967294" count="1" selected="0">
            <x v="0"/>
          </reference>
        </references>
      </pivotArea>
    </chartFormat>
    <chartFormat chart="33" format="5">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FBF92E-4A55-4559-BD28-6C9B2762B48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30:D32" firstHeaderRow="1" firstDataRow="1" firstDataCol="1"/>
  <pivotFields count="8">
    <pivotField showAll="0">
      <items count="7">
        <item x="1"/>
        <item x="5"/>
        <item x="3"/>
        <item x="4"/>
        <item x="0"/>
        <item x="2"/>
        <item t="default"/>
      </items>
    </pivotField>
    <pivotField axis="axisRow" showAll="0">
      <items count="6">
        <item h="1" m="1" x="4"/>
        <item h="1" x="0"/>
        <item h="1" x="2"/>
        <item h="1" x="1"/>
        <item x="3"/>
        <item t="default"/>
      </items>
    </pivotField>
    <pivotField showAll="0">
      <items count="8">
        <item x="0"/>
        <item x="5"/>
        <item x="3"/>
        <item x="2"/>
        <item x="4"/>
        <item x="1"/>
        <item x="6"/>
        <item t="default"/>
      </items>
    </pivotField>
    <pivotField showAll="0"/>
    <pivotField numFmtId="165" showAll="0"/>
    <pivotField numFmtId="164" showAll="0"/>
    <pivotField numFmtId="164" showAll="0"/>
    <pivotField numFmtId="164" showAll="0">
      <items count="100">
        <item x="7"/>
        <item x="8"/>
        <item x="6"/>
        <item x="51"/>
        <item x="10"/>
        <item x="17"/>
        <item x="15"/>
        <item x="9"/>
        <item x="96"/>
        <item x="3"/>
        <item x="26"/>
        <item x="68"/>
        <item x="62"/>
        <item x="97"/>
        <item x="19"/>
        <item x="57"/>
        <item x="14"/>
        <item x="12"/>
        <item x="53"/>
        <item x="29"/>
        <item x="46"/>
        <item x="77"/>
        <item x="37"/>
        <item x="65"/>
        <item x="28"/>
        <item x="52"/>
        <item x="5"/>
        <item x="67"/>
        <item x="13"/>
        <item x="24"/>
        <item x="32"/>
        <item x="36"/>
        <item x="34"/>
        <item x="2"/>
        <item x="48"/>
        <item x="43"/>
        <item x="81"/>
        <item x="92"/>
        <item x="4"/>
        <item x="91"/>
        <item x="21"/>
        <item x="40"/>
        <item x="27"/>
        <item x="44"/>
        <item x="84"/>
        <item x="39"/>
        <item x="64"/>
        <item x="93"/>
        <item x="75"/>
        <item x="83"/>
        <item x="72"/>
        <item x="80"/>
        <item x="73"/>
        <item x="79"/>
        <item x="63"/>
        <item x="31"/>
        <item x="18"/>
        <item x="61"/>
        <item x="50"/>
        <item x="33"/>
        <item x="49"/>
        <item x="66"/>
        <item x="69"/>
        <item x="47"/>
        <item x="38"/>
        <item x="20"/>
        <item x="82"/>
        <item x="55"/>
        <item x="94"/>
        <item x="35"/>
        <item x="54"/>
        <item x="90"/>
        <item x="11"/>
        <item x="30"/>
        <item x="95"/>
        <item x="58"/>
        <item x="78"/>
        <item x="41"/>
        <item x="45"/>
        <item x="70"/>
        <item x="25"/>
        <item x="76"/>
        <item x="56"/>
        <item x="74"/>
        <item x="85"/>
        <item x="42"/>
        <item x="23"/>
        <item x="87"/>
        <item x="22"/>
        <item x="71"/>
        <item x="86"/>
        <item x="16"/>
        <item x="89"/>
        <item x="88"/>
        <item x="59"/>
        <item x="1"/>
        <item x="60"/>
        <item x="98"/>
        <item x="0"/>
        <item t="default"/>
      </items>
    </pivotField>
  </pivotFields>
  <rowFields count="1">
    <field x="1"/>
  </rowFields>
  <rowItems count="2">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BA27049F-37F4-4FE0-A0FC-D1748AFC1BFA}" sourceName="Salesperson">
  <pivotTables>
    <pivotTable tabId="4" name="PivotTable3"/>
    <pivotTable tabId="4" name="PivotTable2"/>
    <pivotTable tabId="4" name="PivotTable4"/>
    <pivotTable tabId="4" name="PivotTable5"/>
    <pivotTable tabId="4" name="PivotTable1"/>
  </pivotTables>
  <data>
    <tabular pivotCacheId="504109768">
      <items count="6">
        <i x="1" s="1"/>
        <i x="5" s="1"/>
        <i x="3" s="1"/>
        <i x="4"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29B6E15-6C2C-406E-B22D-510CD4A9157D}" sourceName="Region">
  <pivotTables>
    <pivotTable tabId="4" name="PivotTable3"/>
    <pivotTable tabId="4" name="PivotTable2"/>
    <pivotTable tabId="4" name="PivotTable4"/>
    <pivotTable tabId="4" name="PivotTable5"/>
    <pivotTable tabId="4" name="PivotTable1"/>
  </pivotTables>
  <data>
    <tabular pivotCacheId="504109768">
      <items count="5">
        <i x="0"/>
        <i x="2"/>
        <i x="1"/>
        <i x="3" s="1"/>
        <i x="4"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BED3B3C-2991-498E-9A95-05B9DF03DA1B}" sourceName="Product">
  <pivotTables>
    <pivotTable tabId="4" name="PivotTable3"/>
    <pivotTable tabId="4" name="PivotTable2"/>
    <pivotTable tabId="4" name="PivotTable4"/>
    <pivotTable tabId="4" name="PivotTable5"/>
    <pivotTable tabId="4" name="PivotTable1"/>
  </pivotTables>
  <data>
    <tabular pivotCacheId="504109768">
      <items count="7">
        <i x="0" s="1"/>
        <i x="5" s="1"/>
        <i x="3" s="1"/>
        <i x="2" s="1"/>
        <i x="4" s="1"/>
        <i x="1"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B633BE98-35BF-4793-A2F9-6778B0E63177}" sourceName="Profit">
  <pivotTables>
    <pivotTable tabId="4" name="PivotTable5"/>
    <pivotTable tabId="4" name="PivotTable2"/>
    <pivotTable tabId="4" name="PivotTable3"/>
    <pivotTable tabId="4" name="PivotTable4"/>
    <pivotTable tabId="4" name="PivotTable1"/>
  </pivotTables>
  <data>
    <tabular pivotCacheId="504109768">
      <items count="99">
        <i x="51" s="1"/>
        <i x="15" s="1"/>
        <i x="9" s="1"/>
        <i x="26" s="1"/>
        <i x="19" s="1"/>
        <i x="46" s="1"/>
        <i x="65" s="1"/>
        <i x="5" s="1"/>
        <i x="13" s="1"/>
        <i x="75" s="1"/>
        <i x="49" s="1"/>
        <i x="66" s="1"/>
        <i x="20" s="1"/>
        <i x="82" s="1"/>
        <i x="54" s="1"/>
        <i x="95" s="1"/>
        <i x="41" s="1"/>
        <i x="23" s="1"/>
        <i x="71" s="1"/>
        <i x="16" s="1"/>
        <i x="89" s="1"/>
        <i x="60" s="1"/>
        <i x="98" s="1"/>
        <i x="7" s="1" nd="1"/>
        <i x="8" s="1" nd="1"/>
        <i x="6" s="1" nd="1"/>
        <i x="10" s="1" nd="1"/>
        <i x="17" s="1" nd="1"/>
        <i x="96" s="1" nd="1"/>
        <i x="3" s="1" nd="1"/>
        <i x="68" s="1" nd="1"/>
        <i x="62" s="1" nd="1"/>
        <i x="97" s="1" nd="1"/>
        <i x="57" s="1" nd="1"/>
        <i x="14" s="1" nd="1"/>
        <i x="12" s="1" nd="1"/>
        <i x="53" s="1" nd="1"/>
        <i x="29" s="1" nd="1"/>
        <i x="77" s="1" nd="1"/>
        <i x="37" s="1" nd="1"/>
        <i x="28" s="1" nd="1"/>
        <i x="52" s="1" nd="1"/>
        <i x="67" s="1" nd="1"/>
        <i x="24" s="1" nd="1"/>
        <i x="32" s="1" nd="1"/>
        <i x="36" s="1" nd="1"/>
        <i x="34" s="1" nd="1"/>
        <i x="2" s="1" nd="1"/>
        <i x="48" s="1" nd="1"/>
        <i x="43" s="1" nd="1"/>
        <i x="81" s="1" nd="1"/>
        <i x="92" s="1" nd="1"/>
        <i x="4" s="1" nd="1"/>
        <i x="91" s="1" nd="1"/>
        <i x="21" s="1" nd="1"/>
        <i x="40" s="1" nd="1"/>
        <i x="27" s="1" nd="1"/>
        <i x="44" s="1" nd="1"/>
        <i x="84" s="1" nd="1"/>
        <i x="39" s="1" nd="1"/>
        <i x="64" s="1" nd="1"/>
        <i x="93" s="1" nd="1"/>
        <i x="83" s="1" nd="1"/>
        <i x="72" s="1" nd="1"/>
        <i x="80" s="1" nd="1"/>
        <i x="73" s="1" nd="1"/>
        <i x="79" s="1" nd="1"/>
        <i x="63" s="1" nd="1"/>
        <i x="31" s="1" nd="1"/>
        <i x="18" s="1" nd="1"/>
        <i x="61" s="1" nd="1"/>
        <i x="50" s="1" nd="1"/>
        <i x="33" s="1" nd="1"/>
        <i x="69" s="1" nd="1"/>
        <i x="47" s="1" nd="1"/>
        <i x="38" s="1" nd="1"/>
        <i x="55" s="1" nd="1"/>
        <i x="94" s="1" nd="1"/>
        <i x="35" s="1" nd="1"/>
        <i x="90" s="1" nd="1"/>
        <i x="11" s="1" nd="1"/>
        <i x="30" s="1" nd="1"/>
        <i x="58" s="1" nd="1"/>
        <i x="78" s="1" nd="1"/>
        <i x="45" s="1" nd="1"/>
        <i x="70" s="1" nd="1"/>
        <i x="25" s="1" nd="1"/>
        <i x="76" s="1" nd="1"/>
        <i x="56" s="1" nd="1"/>
        <i x="74" s="1" nd="1"/>
        <i x="85" s="1" nd="1"/>
        <i x="42" s="1" nd="1"/>
        <i x="87" s="1" nd="1"/>
        <i x="22" s="1" nd="1"/>
        <i x="86" s="1" nd="1"/>
        <i x="88" s="1" nd="1"/>
        <i x="59" s="1" nd="1"/>
        <i x="1" s="1" nd="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2FD71DDF-81B5-42A3-B691-867660AA8FE2}" cache="Slicer_Salesperson" caption="Salesperson" style="SlicerStyleDark6" rowHeight="241300"/>
  <slicer name="Region" xr10:uid="{A97D95DB-3F4B-44FB-8F86-B5252BF398F4}" cache="Slicer_Region" caption="Region" columnCount="2" showCaption="0" style="SlicerStyleDark6" rowHeight="241300"/>
  <slicer name="Product" xr10:uid="{99222555-1888-49B5-B7E8-959304B2AA15}" cache="Slicer_Product" caption="Product" style="SlicerStyleDark6" rowHeight="241300"/>
  <slicer name="Profit" xr10:uid="{D6FF9FB3-8B84-418A-8D9D-8CDA80587D73}" cache="Slicer_Profit" caption="Profit" startItem="36" style="SlicerStyleDark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1" xr10:uid="{3F7517D7-6A8A-417C-94D1-65FCD2DC6CE1}" cache="Slicer_Salesperson" caption="Salesperson" style="SlicerStyleDark1" rowHeight="241300"/>
  <slicer name="Region 1" xr10:uid="{302A1D9B-7906-4EFE-8039-CFDECC8BDAAB}" cache="Slicer_Region" caption="Region" columnCount="2" showCaption="0" style="SlicerStyleDark1" rowHeight="241300"/>
  <slicer name="Product 1" xr10:uid="{FECFCEC4-DA46-4D24-AA10-53CDC8684093}" cache="Slicer_Product" caption="Product" style="SlicerStyleDark1" rowHeight="241300"/>
  <slicer name="Profit 1" xr10:uid="{21A222D9-5154-406F-9D4E-D977A664CB9D}" cache="Slicer_Profit" caption="Profit" startItem="8"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86AF30-E842-4212-98BB-9048826EDF4C}" name="Table2" displayName="Table2" ref="A1:A100" totalsRowShown="0" headerRowDxfId="23" dataDxfId="21" headerRowBorderDxfId="22" tableBorderDxfId="20">
  <tableColumns count="1">
    <tableColumn id="1" xr3:uid="{A77C8C92-30C4-4BF5-8FAA-B6D834A7C6C9}" name="Date" dataDxfId="1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EBD96C2-826B-4E03-B2D7-DE78C95E54F6}" name="Table5" displayName="Table5" ref="B1:I100" totalsRowShown="0" headerRowDxfId="18" headerRowBorderDxfId="17">
  <autoFilter ref="B1:I100" xr:uid="{FEBD96C2-826B-4E03-B2D7-DE78C95E54F6}"/>
  <tableColumns count="8">
    <tableColumn id="1" xr3:uid="{BD09C28A-0541-4E0C-BB49-8E9F17C37872}" name="Salesperson"/>
    <tableColumn id="2" xr3:uid="{F111FD8A-C18D-45FA-BBEA-B1CA0D9F857A}" name="Region"/>
    <tableColumn id="3" xr3:uid="{32E0C531-E906-4072-B74B-8053313A46B6}" name="Product"/>
    <tableColumn id="4" xr3:uid="{1EB790F7-D298-4433-AD1E-DBC9CEA44CDD}" name="Units sold "/>
    <tableColumn id="5" xr3:uid="{EB2033B2-622E-4118-983F-0F56AA1869DE}" name="UnitPrice" dataDxfId="16"/>
    <tableColumn id="6" xr3:uid="{1FB54746-8B5A-4CE2-B6EF-E993D4A266AB}" name="Cost of goods" dataDxfId="15"/>
    <tableColumn id="7" xr3:uid="{620A48E8-EF90-4960-BA1B-4C2CCE92FA6E}" name="Total Sales" dataDxfId="14">
      <calculatedColumnFormula>E2*F2</calculatedColumnFormula>
    </tableColumn>
    <tableColumn id="8" xr3:uid="{CF4FD8EB-4806-422E-B440-1F971B113652}" name="Profit" dataDxfId="13">
      <calculatedColumnFormula>H2-(G2*E2)</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879118F-F317-4339-B983-E1155A610C4A}" name="Table25" displayName="Table25" ref="A1:A100" totalsRowShown="0" headerRowDxfId="12" dataDxfId="10" headerRowBorderDxfId="11" tableBorderDxfId="9">
  <autoFilter ref="A1:A100" xr:uid="{D879118F-F317-4339-B983-E1155A610C4A}"/>
  <tableColumns count="1">
    <tableColumn id="1" xr3:uid="{2F6EF2DB-B904-4ECB-8938-4D6D4D9C377B}" name="Date" dataDxfId="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AB85EE-CA3F-4C51-AB5B-E186E27E4F59}" name="Table7" displayName="Table7" ref="B1:I100" totalsRowShown="0" headerRowDxfId="7" headerRowBorderDxfId="6">
  <autoFilter ref="B1:I100" xr:uid="{8BAB85EE-CA3F-4C51-AB5B-E186E27E4F59}"/>
  <tableColumns count="8">
    <tableColumn id="1" xr3:uid="{6B762817-8936-4F5C-B46F-C369009E841A}" name="Salesperson"/>
    <tableColumn id="2" xr3:uid="{E416102A-E2DD-42BD-B39B-C9EC86D031A7}" name="Region"/>
    <tableColumn id="3" xr3:uid="{D68DF22B-BE0B-4135-9295-BFB1472DAC5A}" name="Product"/>
    <tableColumn id="4" xr3:uid="{0ADA9E16-2965-4F2D-8C43-AD9B827C24D0}" name="Units sold "/>
    <tableColumn id="5" xr3:uid="{CF4B37C0-E160-4E1E-8F1B-36F3E04B5761}" name="UnitPrice" dataDxfId="5"/>
    <tableColumn id="6" xr3:uid="{3F44987E-70D1-4367-AA92-7870D7045CB3}" name="Cost of goods" dataDxfId="4"/>
    <tableColumn id="7" xr3:uid="{2D7D6B53-B416-4B91-87F6-382A30C079B7}" name="Total Sales" dataDxfId="3">
      <calculatedColumnFormula>E2*F2</calculatedColumnFormula>
    </tableColumn>
    <tableColumn id="8" xr3:uid="{00625C66-E990-4C57-BCA1-5D894634A621}" name="Profit" dataDxfId="2">
      <calculatedColumnFormula>H2-(G2*E2)</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D8074C4-B2A6-4F3E-8421-63202B35BCDB}" name="Table23" displayName="Table23" ref="A1:A100" totalsRowShown="0" headerRowDxfId="34" dataDxfId="32" headerRowBorderDxfId="33" tableBorderDxfId="31">
  <tableColumns count="1">
    <tableColumn id="1" xr3:uid="{846B6D47-C56F-41EA-A73F-76393D8625C5}" name="Date" dataDxfId="30"/>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1741E31-8FCE-41CF-BF13-0428F42E7823}" name="Table54" displayName="Table54" ref="B1:I100" totalsRowShown="0" headerRowDxfId="29" headerRowBorderDxfId="28">
  <autoFilter ref="B1:I100" xr:uid="{FEBD96C2-826B-4E03-B2D7-DE78C95E54F6}">
    <filterColumn colId="1">
      <filters>
        <filter val="South"/>
      </filters>
    </filterColumn>
  </autoFilter>
  <tableColumns count="8">
    <tableColumn id="1" xr3:uid="{91604073-47B3-4FC7-A159-016B03A99773}" name="Salesperson"/>
    <tableColumn id="2" xr3:uid="{BECCAD6C-1134-45FC-A745-4C50378891C9}" name="Region"/>
    <tableColumn id="3" xr3:uid="{F640A1FD-7929-4988-8BDB-E67F2AF7B523}" name="Product"/>
    <tableColumn id="4" xr3:uid="{399AD062-D99C-4F48-ADD5-DEF118F464E6}" name="Units sold "/>
    <tableColumn id="5" xr3:uid="{58431ECD-F191-49CF-B4B7-86F9CB7437E4}" name="UnitPrice" dataDxfId="27"/>
    <tableColumn id="6" xr3:uid="{A44B7FD1-625D-4366-BFED-1548FC9FBFD8}" name="Cost of goods" dataDxfId="26"/>
    <tableColumn id="7" xr3:uid="{E100B9F1-874E-42BC-A15D-734946D69703}" name="Total Sales" dataDxfId="25">
      <calculatedColumnFormula>E2*F2</calculatedColumnFormula>
    </tableColumn>
    <tableColumn id="8" xr3:uid="{C924C0B5-9B98-4D63-9D64-D3361A34F1B1}" name="Profit" dataDxfId="24">
      <calculatedColumnFormula>H2-(G2*E2)</calculatedColumnFormula>
    </tableColumn>
  </tableColumns>
  <tableStyleInfo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ircuit">
  <a:themeElements>
    <a:clrScheme name="Circuit">
      <a:dk1>
        <a:sysClr val="windowText" lastClr="000000"/>
      </a:dk1>
      <a:lt1>
        <a:sysClr val="window" lastClr="FFFFFF"/>
      </a:lt1>
      <a:dk2>
        <a:srgbClr val="134770"/>
      </a:dk2>
      <a:lt2>
        <a:srgbClr val="82FFFF"/>
      </a:lt2>
      <a:accent1>
        <a:srgbClr val="9ACD4C"/>
      </a:accent1>
      <a:accent2>
        <a:srgbClr val="FAA93A"/>
      </a:accent2>
      <a:accent3>
        <a:srgbClr val="D35940"/>
      </a:accent3>
      <a:accent4>
        <a:srgbClr val="B258D3"/>
      </a:accent4>
      <a:accent5>
        <a:srgbClr val="63A0CC"/>
      </a:accent5>
      <a:accent6>
        <a:srgbClr val="8AC4A7"/>
      </a:accent6>
      <a:hlink>
        <a:srgbClr val="B8FA56"/>
      </a:hlink>
      <a:folHlink>
        <a:srgbClr val="7AF8CC"/>
      </a:folHlink>
    </a:clrScheme>
    <a:fontScheme name="Circui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Top Shadow">
      <a:fillStyleLst>
        <a:solidFill>
          <a:schemeClr val="phClr"/>
        </a:solidFill>
        <a:gradFill rotWithShape="1">
          <a:gsLst>
            <a:gs pos="0">
              <a:schemeClr val="phClr">
                <a:tint val="10000"/>
                <a:satMod val="300000"/>
              </a:schemeClr>
            </a:gs>
            <a:gs pos="34000">
              <a:schemeClr val="phClr">
                <a:tint val="13500"/>
                <a:satMod val="250000"/>
              </a:schemeClr>
            </a:gs>
            <a:gs pos="100000">
              <a:schemeClr val="phClr">
                <a:tint val="60000"/>
                <a:satMod val="200000"/>
              </a:schemeClr>
            </a:gs>
          </a:gsLst>
          <a:path path="circle">
            <a:fillToRect l="50000" t="155000" r="50000" b="-55000"/>
          </a:path>
        </a:gradFill>
        <a:gradFill rotWithShape="1">
          <a:gsLst>
            <a:gs pos="0">
              <a:schemeClr val="phClr">
                <a:tint val="60000"/>
                <a:satMod val="160000"/>
              </a:schemeClr>
            </a:gs>
            <a:gs pos="46000">
              <a:schemeClr val="phClr">
                <a:tint val="86000"/>
                <a:satMod val="160000"/>
              </a:schemeClr>
            </a:gs>
            <a:gs pos="100000">
              <a:schemeClr val="phClr">
                <a:shade val="40000"/>
                <a:satMod val="160000"/>
              </a:schemeClr>
            </a:gs>
          </a:gsLst>
          <a:path path="circle">
            <a:fillToRect l="50000" t="155000" r="50000" b="-55000"/>
          </a:path>
        </a:gradFill>
      </a:fillStyleLst>
      <a:lnStyleLst>
        <a:ln w="9525" cap="flat" cmpd="sng" algn="ctr">
          <a:solidFill>
            <a:schemeClr val="phClr">
              <a:satMod val="120000"/>
            </a:scheme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outerShdw blurRad="63500" dist="25400" dir="14700000" algn="t" rotWithShape="0">
              <a:srgbClr val="000000">
                <a:alpha val="50000"/>
              </a:srgbClr>
            </a:outerShdw>
          </a:effectLst>
        </a:effectStyle>
        <a:effectStyle>
          <a:effectLst>
            <a:outerShdw blurRad="50800" dist="38100" dir="14700000" algn="t" rotWithShape="0">
              <a:srgbClr val="000000">
                <a:alpha val="60000"/>
              </a:srgbClr>
            </a:outerShdw>
          </a:effectLst>
        </a:effectStyle>
        <a:effectStyle>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a:effectStyle>
      </a:effectStyleLst>
      <a:bgFillStyleLst>
        <a:solidFill>
          <a:schemeClr val="phClr"/>
        </a:solidFill>
        <a:gradFill rotWithShape="1">
          <a:gsLst>
            <a:gs pos="0">
              <a:schemeClr val="phClr">
                <a:tint val="98000"/>
                <a:hueMod val="94000"/>
                <a:satMod val="148000"/>
                <a:lumMod val="150000"/>
              </a:schemeClr>
            </a:gs>
            <a:gs pos="100000">
              <a:schemeClr val="phClr">
                <a:shade val="92000"/>
                <a:hueMod val="104000"/>
                <a:satMod val="140000"/>
                <a:lumMod val="68000"/>
              </a:schemeClr>
            </a:gs>
          </a:gsLst>
          <a:lin ang="5040000" scaled="0"/>
        </a:gradFill>
        <a:blipFill>
          <a:blip xmlns:r="http://schemas.openxmlformats.org/officeDocument/2006/relationships" r:embed="rId1">
            <a:duotone>
              <a:schemeClr val="phClr">
                <a:shade val="88000"/>
                <a:hueMod val="106000"/>
                <a:satMod val="140000"/>
                <a:lumMod val="54000"/>
              </a:schemeClr>
              <a:schemeClr val="phClr">
                <a:tint val="98000"/>
                <a:hueMod val="90000"/>
                <a:satMod val="150000"/>
                <a:lumMod val="160000"/>
              </a:schemeClr>
            </a:duotone>
          </a:blip>
          <a:stretch/>
        </a:blipFill>
      </a:bgFillStyleLst>
    </a:fmtScheme>
  </a:themeElements>
  <a:objectDefaults/>
  <a:extraClrSchemeLst/>
  <a:extLst>
    <a:ext uri="{05A4C25C-085E-4340-85A3-A5531E510DB2}">
      <thm15:themeFamily xmlns:thm15="http://schemas.microsoft.com/office/thememl/2012/main" name="Circuit" id="{0AC2F7E7-15F5-431C-B2A2-456FE929F56C}" vid="{0911B802-464C-4241-8DD9-B60FF88E379F}"/>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51D01-9237-4E2C-A584-8557773D7B88}">
  <dimension ref="A1:P123"/>
  <sheetViews>
    <sheetView zoomScale="59" zoomScaleNormal="100" workbookViewId="0">
      <selection activeCell="C3" sqref="C3"/>
    </sheetView>
  </sheetViews>
  <sheetFormatPr defaultRowHeight="14" x14ac:dyDescent="0.3"/>
  <cols>
    <col min="1" max="1" width="10" customWidth="1"/>
    <col min="2" max="2" width="12.75" customWidth="1"/>
    <col min="3" max="3" width="8.4140625" customWidth="1"/>
    <col min="4" max="4" width="9.4140625" customWidth="1"/>
    <col min="5" max="5" width="12.58203125" customWidth="1"/>
    <col min="6" max="6" width="12.6640625" customWidth="1"/>
    <col min="7" max="7" width="14.1640625" customWidth="1"/>
    <col min="8" max="8" width="16.58203125" customWidth="1"/>
    <col min="9" max="9" width="11.6640625" customWidth="1"/>
    <col min="10" max="10" width="10.75" customWidth="1"/>
    <col min="11" max="11" width="9.25" customWidth="1"/>
    <col min="13" max="13" width="14.25" customWidth="1"/>
    <col min="16" max="16" width="14.4140625" customWidth="1"/>
  </cols>
  <sheetData>
    <row r="1" spans="1:13" x14ac:dyDescent="0.3">
      <c r="A1" s="7" t="s">
        <v>0</v>
      </c>
      <c r="B1" s="8" t="s">
        <v>4</v>
      </c>
      <c r="C1" s="8" t="s">
        <v>1</v>
      </c>
      <c r="D1" s="8" t="s">
        <v>2</v>
      </c>
      <c r="E1" s="8" t="s">
        <v>28</v>
      </c>
      <c r="F1" s="8" t="s">
        <v>3</v>
      </c>
      <c r="G1" s="9" t="s">
        <v>29</v>
      </c>
      <c r="H1" s="8" t="s">
        <v>30</v>
      </c>
      <c r="I1" s="8" t="s">
        <v>27</v>
      </c>
      <c r="M1" s="3" t="s">
        <v>23</v>
      </c>
    </row>
    <row r="2" spans="1:13" x14ac:dyDescent="0.3">
      <c r="A2" s="1">
        <v>44980</v>
      </c>
      <c r="B2" t="s">
        <v>7</v>
      </c>
      <c r="C2" t="s">
        <v>5</v>
      </c>
      <c r="D2" t="s">
        <v>6</v>
      </c>
      <c r="E2">
        <v>24</v>
      </c>
      <c r="F2" s="4">
        <v>100100</v>
      </c>
      <c r="G2" s="5">
        <v>70070</v>
      </c>
      <c r="H2" s="2">
        <f>E2*F2</f>
        <v>2402400</v>
      </c>
      <c r="I2" s="2">
        <f>H2-(G2*E2)</f>
        <v>720720</v>
      </c>
      <c r="M2" s="2">
        <f>SUM(H2:H100)</f>
        <v>30246800</v>
      </c>
    </row>
    <row r="3" spans="1:13" x14ac:dyDescent="0.3">
      <c r="A3" s="1">
        <v>45645</v>
      </c>
      <c r="B3" t="s">
        <v>10</v>
      </c>
      <c r="C3" t="s">
        <v>8</v>
      </c>
      <c r="D3" t="s">
        <v>9</v>
      </c>
      <c r="E3">
        <v>75</v>
      </c>
      <c r="F3" s="4">
        <v>15500</v>
      </c>
      <c r="G3" s="2">
        <v>10075</v>
      </c>
      <c r="H3" s="2">
        <f t="shared" ref="H3:H66" si="0">E3*F3</f>
        <v>1162500</v>
      </c>
      <c r="I3" s="2">
        <f t="shared" ref="I3:I66" si="1">H3-(G3*E3)</f>
        <v>406875</v>
      </c>
      <c r="M3" t="s">
        <v>26</v>
      </c>
    </row>
    <row r="4" spans="1:13" x14ac:dyDescent="0.3">
      <c r="A4" s="1">
        <v>45056</v>
      </c>
      <c r="B4" t="s">
        <v>10</v>
      </c>
      <c r="C4" t="s">
        <v>11</v>
      </c>
      <c r="D4" t="s">
        <v>12</v>
      </c>
      <c r="E4">
        <v>14</v>
      </c>
      <c r="F4" s="4">
        <v>3500</v>
      </c>
      <c r="G4" s="2">
        <v>1925</v>
      </c>
      <c r="H4" s="2">
        <f t="shared" si="0"/>
        <v>49000</v>
      </c>
      <c r="I4" s="2">
        <f t="shared" si="1"/>
        <v>22050</v>
      </c>
      <c r="M4">
        <f>SUM(E2:E100)</f>
        <v>1133</v>
      </c>
    </row>
    <row r="5" spans="1:13" x14ac:dyDescent="0.3">
      <c r="A5" s="1">
        <v>45714</v>
      </c>
      <c r="B5" t="s">
        <v>15</v>
      </c>
      <c r="C5" t="s">
        <v>13</v>
      </c>
      <c r="D5" t="s">
        <v>14</v>
      </c>
      <c r="E5">
        <v>18</v>
      </c>
      <c r="F5" s="4">
        <v>600</v>
      </c>
      <c r="G5" s="2">
        <v>300</v>
      </c>
      <c r="H5" s="2">
        <f t="shared" si="0"/>
        <v>10800</v>
      </c>
      <c r="I5" s="2">
        <f t="shared" si="1"/>
        <v>5400</v>
      </c>
      <c r="M5" t="s">
        <v>24</v>
      </c>
    </row>
    <row r="6" spans="1:13" x14ac:dyDescent="0.3">
      <c r="A6" s="1">
        <v>45101</v>
      </c>
      <c r="B6" t="s">
        <v>16</v>
      </c>
      <c r="C6" t="s">
        <v>5</v>
      </c>
      <c r="D6" t="s">
        <v>12</v>
      </c>
      <c r="E6">
        <v>18</v>
      </c>
      <c r="F6" s="4">
        <v>3500</v>
      </c>
      <c r="G6" s="2">
        <v>1925</v>
      </c>
      <c r="H6" s="2">
        <f t="shared" si="0"/>
        <v>63000</v>
      </c>
      <c r="I6" s="2">
        <f t="shared" si="1"/>
        <v>28350</v>
      </c>
      <c r="M6" s="2">
        <f>SUM(I2:I100)</f>
        <v>10402675</v>
      </c>
    </row>
    <row r="7" spans="1:13" x14ac:dyDescent="0.3">
      <c r="A7" s="1">
        <v>45342</v>
      </c>
      <c r="B7" t="s">
        <v>18</v>
      </c>
      <c r="C7" t="s">
        <v>13</v>
      </c>
      <c r="D7" t="s">
        <v>17</v>
      </c>
      <c r="E7">
        <v>6</v>
      </c>
      <c r="F7" s="4">
        <v>8000</v>
      </c>
      <c r="G7" s="2">
        <v>5200</v>
      </c>
      <c r="H7" s="2">
        <f t="shared" si="0"/>
        <v>48000</v>
      </c>
      <c r="I7" s="2">
        <f t="shared" si="1"/>
        <v>16800</v>
      </c>
      <c r="M7" t="s">
        <v>25</v>
      </c>
    </row>
    <row r="8" spans="1:13" x14ac:dyDescent="0.3">
      <c r="A8" s="1">
        <v>44937</v>
      </c>
      <c r="B8" t="s">
        <v>10</v>
      </c>
      <c r="C8" t="s">
        <v>8</v>
      </c>
      <c r="D8" t="s">
        <v>14</v>
      </c>
      <c r="E8">
        <v>7</v>
      </c>
      <c r="F8" s="4">
        <v>500</v>
      </c>
      <c r="G8" s="2">
        <v>250</v>
      </c>
      <c r="H8" s="2">
        <f t="shared" si="0"/>
        <v>3500</v>
      </c>
      <c r="I8" s="2">
        <f t="shared" si="1"/>
        <v>1750</v>
      </c>
      <c r="M8" s="2">
        <f>AVERAGE(H2:H100)</f>
        <v>305523.23232323234</v>
      </c>
    </row>
    <row r="9" spans="1:13" x14ac:dyDescent="0.3">
      <c r="A9" s="1">
        <v>44935</v>
      </c>
      <c r="B9" t="s">
        <v>16</v>
      </c>
      <c r="C9" t="s">
        <v>13</v>
      </c>
      <c r="D9" t="s">
        <v>14</v>
      </c>
      <c r="E9">
        <v>3</v>
      </c>
      <c r="F9" s="4">
        <v>300</v>
      </c>
      <c r="G9" s="2">
        <v>150</v>
      </c>
      <c r="H9" s="2">
        <f t="shared" si="0"/>
        <v>900</v>
      </c>
      <c r="I9" s="2">
        <f t="shared" si="1"/>
        <v>450</v>
      </c>
    </row>
    <row r="10" spans="1:13" x14ac:dyDescent="0.3">
      <c r="A10" s="1">
        <v>45581</v>
      </c>
      <c r="B10" t="s">
        <v>19</v>
      </c>
      <c r="C10" t="s">
        <v>8</v>
      </c>
      <c r="D10" t="s">
        <v>14</v>
      </c>
      <c r="E10">
        <v>3</v>
      </c>
      <c r="F10" s="4">
        <v>400</v>
      </c>
      <c r="G10" s="2">
        <v>200</v>
      </c>
      <c r="H10" s="2">
        <f t="shared" si="0"/>
        <v>1200</v>
      </c>
      <c r="I10" s="2">
        <f t="shared" si="1"/>
        <v>600</v>
      </c>
    </row>
    <row r="11" spans="1:13" x14ac:dyDescent="0.3">
      <c r="A11" s="1">
        <v>45721</v>
      </c>
      <c r="B11" t="s">
        <v>15</v>
      </c>
      <c r="C11" t="s">
        <v>20</v>
      </c>
      <c r="D11" t="s">
        <v>12</v>
      </c>
      <c r="E11">
        <v>5</v>
      </c>
      <c r="F11" s="4">
        <v>2300</v>
      </c>
      <c r="G11" s="2">
        <v>1265</v>
      </c>
      <c r="H11" s="2">
        <f t="shared" si="0"/>
        <v>11500</v>
      </c>
      <c r="I11" s="2">
        <f t="shared" si="1"/>
        <v>5175</v>
      </c>
    </row>
    <row r="12" spans="1:13" x14ac:dyDescent="0.3">
      <c r="A12" s="1">
        <v>45392</v>
      </c>
      <c r="B12" t="s">
        <v>7</v>
      </c>
      <c r="C12" t="s">
        <v>11</v>
      </c>
      <c r="D12" t="s">
        <v>12</v>
      </c>
      <c r="E12">
        <v>15</v>
      </c>
      <c r="F12" s="4">
        <v>500</v>
      </c>
      <c r="G12" s="2">
        <v>275</v>
      </c>
      <c r="H12" s="2">
        <f t="shared" si="0"/>
        <v>7500</v>
      </c>
      <c r="I12" s="2">
        <f t="shared" si="1"/>
        <v>3375</v>
      </c>
    </row>
    <row r="13" spans="1:13" x14ac:dyDescent="0.3">
      <c r="A13" s="1">
        <v>45485</v>
      </c>
      <c r="B13" t="s">
        <v>7</v>
      </c>
      <c r="C13" t="s">
        <v>5</v>
      </c>
      <c r="D13" t="s">
        <v>9</v>
      </c>
      <c r="E13">
        <v>19</v>
      </c>
      <c r="F13" s="4">
        <v>20000</v>
      </c>
      <c r="G13" s="2">
        <v>13000</v>
      </c>
      <c r="H13" s="2">
        <f t="shared" si="0"/>
        <v>380000</v>
      </c>
      <c r="I13" s="2">
        <f t="shared" si="1"/>
        <v>133000</v>
      </c>
    </row>
    <row r="14" spans="1:13" x14ac:dyDescent="0.3">
      <c r="A14" s="1">
        <v>45128</v>
      </c>
      <c r="B14" t="s">
        <v>18</v>
      </c>
      <c r="C14" t="s">
        <v>13</v>
      </c>
      <c r="D14" t="s">
        <v>9</v>
      </c>
      <c r="E14">
        <v>2</v>
      </c>
      <c r="F14" s="4">
        <v>12000</v>
      </c>
      <c r="G14" s="2">
        <v>7800</v>
      </c>
      <c r="H14" s="2">
        <f t="shared" si="0"/>
        <v>24000</v>
      </c>
      <c r="I14" s="2">
        <f t="shared" si="1"/>
        <v>8400</v>
      </c>
    </row>
    <row r="15" spans="1:13" x14ac:dyDescent="0.3">
      <c r="A15" s="1">
        <v>45675</v>
      </c>
      <c r="B15" t="s">
        <v>16</v>
      </c>
      <c r="C15" t="s">
        <v>20</v>
      </c>
      <c r="D15" t="s">
        <v>21</v>
      </c>
      <c r="E15">
        <v>1</v>
      </c>
      <c r="F15" s="4">
        <v>45600</v>
      </c>
      <c r="G15" s="2">
        <v>27360</v>
      </c>
      <c r="H15" s="2">
        <f t="shared" si="0"/>
        <v>45600</v>
      </c>
      <c r="I15" s="2">
        <f t="shared" si="1"/>
        <v>18240</v>
      </c>
    </row>
    <row r="16" spans="1:13" x14ac:dyDescent="0.3">
      <c r="A16" s="1">
        <v>45634</v>
      </c>
      <c r="B16" t="s">
        <v>18</v>
      </c>
      <c r="C16" t="s">
        <v>11</v>
      </c>
      <c r="D16" t="s">
        <v>12</v>
      </c>
      <c r="E16">
        <v>15</v>
      </c>
      <c r="F16" s="4">
        <v>1200</v>
      </c>
      <c r="G16" s="2">
        <v>660</v>
      </c>
      <c r="H16" s="2">
        <f t="shared" si="0"/>
        <v>18000</v>
      </c>
      <c r="I16" s="2">
        <f t="shared" si="1"/>
        <v>8100</v>
      </c>
    </row>
    <row r="17" spans="1:16" x14ac:dyDescent="0.3">
      <c r="A17" s="1">
        <v>45788</v>
      </c>
      <c r="B17" t="s">
        <v>7</v>
      </c>
      <c r="C17" t="s">
        <v>20</v>
      </c>
      <c r="D17" t="s">
        <v>14</v>
      </c>
      <c r="E17">
        <v>17</v>
      </c>
      <c r="F17" s="4">
        <v>600</v>
      </c>
      <c r="G17" s="2">
        <v>300</v>
      </c>
      <c r="H17" s="2">
        <f t="shared" si="0"/>
        <v>10200</v>
      </c>
      <c r="I17" s="2">
        <f t="shared" si="1"/>
        <v>5100</v>
      </c>
    </row>
    <row r="18" spans="1:16" x14ac:dyDescent="0.3">
      <c r="A18" s="1">
        <v>44983</v>
      </c>
      <c r="B18" t="s">
        <v>19</v>
      </c>
      <c r="C18" t="s">
        <v>20</v>
      </c>
      <c r="D18" t="s">
        <v>6</v>
      </c>
      <c r="E18">
        <v>19</v>
      </c>
      <c r="F18" s="4">
        <v>55200</v>
      </c>
      <c r="G18" s="2">
        <v>38640</v>
      </c>
      <c r="H18" s="2">
        <f t="shared" si="0"/>
        <v>1048800</v>
      </c>
      <c r="I18" s="2">
        <f t="shared" si="1"/>
        <v>314640</v>
      </c>
    </row>
    <row r="19" spans="1:16" x14ac:dyDescent="0.3">
      <c r="A19" s="1">
        <v>45440</v>
      </c>
      <c r="B19" t="s">
        <v>18</v>
      </c>
      <c r="C19" t="s">
        <v>13</v>
      </c>
      <c r="D19" t="s">
        <v>12</v>
      </c>
      <c r="E19">
        <v>11</v>
      </c>
      <c r="F19" s="4">
        <v>800</v>
      </c>
      <c r="G19" s="2">
        <v>440</v>
      </c>
      <c r="H19" s="2">
        <f t="shared" si="0"/>
        <v>8800</v>
      </c>
      <c r="I19" s="2">
        <f t="shared" si="1"/>
        <v>3960</v>
      </c>
    </row>
    <row r="20" spans="1:16" x14ac:dyDescent="0.3">
      <c r="A20" s="1">
        <v>45260</v>
      </c>
      <c r="B20" t="s">
        <v>16</v>
      </c>
      <c r="C20" t="s">
        <v>5</v>
      </c>
      <c r="D20" t="s">
        <v>9</v>
      </c>
      <c r="E20">
        <v>20</v>
      </c>
      <c r="F20" s="4">
        <v>11500</v>
      </c>
      <c r="G20" s="2">
        <v>7475</v>
      </c>
      <c r="H20" s="2">
        <f t="shared" si="0"/>
        <v>230000</v>
      </c>
      <c r="I20" s="2">
        <f t="shared" si="1"/>
        <v>80500</v>
      </c>
    </row>
    <row r="21" spans="1:16" x14ac:dyDescent="0.3">
      <c r="A21" s="1">
        <v>45099</v>
      </c>
      <c r="B21" t="s">
        <v>16</v>
      </c>
      <c r="C21" t="s">
        <v>20</v>
      </c>
      <c r="D21" t="s">
        <v>12</v>
      </c>
      <c r="E21">
        <v>14</v>
      </c>
      <c r="F21" s="4">
        <v>1200</v>
      </c>
      <c r="G21" s="2">
        <v>660</v>
      </c>
      <c r="H21" s="2">
        <f t="shared" si="0"/>
        <v>16800</v>
      </c>
      <c r="I21" s="2">
        <f t="shared" si="1"/>
        <v>7560</v>
      </c>
    </row>
    <row r="22" spans="1:16" x14ac:dyDescent="0.3">
      <c r="A22" s="1">
        <v>45813</v>
      </c>
      <c r="B22" t="s">
        <v>18</v>
      </c>
      <c r="C22" t="s">
        <v>20</v>
      </c>
      <c r="D22" t="s">
        <v>9</v>
      </c>
      <c r="E22">
        <v>10</v>
      </c>
      <c r="F22" s="4">
        <v>32300</v>
      </c>
      <c r="G22" s="2">
        <v>20995</v>
      </c>
      <c r="H22" s="2">
        <f t="shared" si="0"/>
        <v>323000</v>
      </c>
      <c r="I22" s="2">
        <f t="shared" si="1"/>
        <v>113050</v>
      </c>
    </row>
    <row r="23" spans="1:16" x14ac:dyDescent="0.3">
      <c r="A23" s="1">
        <v>44988</v>
      </c>
      <c r="B23" t="s">
        <v>19</v>
      </c>
      <c r="C23" t="s">
        <v>13</v>
      </c>
      <c r="D23" t="s">
        <v>14</v>
      </c>
      <c r="E23">
        <v>14</v>
      </c>
      <c r="F23" s="4">
        <v>4300</v>
      </c>
      <c r="G23" s="2">
        <v>2150</v>
      </c>
      <c r="H23" s="2">
        <f t="shared" si="0"/>
        <v>60200</v>
      </c>
      <c r="I23" s="2">
        <f t="shared" si="1"/>
        <v>30100</v>
      </c>
    </row>
    <row r="24" spans="1:16" x14ac:dyDescent="0.3">
      <c r="A24" s="1">
        <v>45340</v>
      </c>
      <c r="B24" t="s">
        <v>16</v>
      </c>
      <c r="C24" t="s">
        <v>11</v>
      </c>
      <c r="D24" t="s">
        <v>6</v>
      </c>
      <c r="E24">
        <v>14</v>
      </c>
      <c r="F24" s="4">
        <v>65400</v>
      </c>
      <c r="G24" s="2">
        <v>45780</v>
      </c>
      <c r="H24" s="2">
        <f t="shared" si="0"/>
        <v>915600</v>
      </c>
      <c r="I24" s="2">
        <f t="shared" si="1"/>
        <v>274680</v>
      </c>
    </row>
    <row r="25" spans="1:16" x14ac:dyDescent="0.3">
      <c r="A25" s="1">
        <v>45144</v>
      </c>
      <c r="B25" t="s">
        <v>18</v>
      </c>
      <c r="C25" t="s">
        <v>13</v>
      </c>
      <c r="D25" t="s">
        <v>6</v>
      </c>
      <c r="E25">
        <v>12</v>
      </c>
      <c r="F25" s="4">
        <v>72500</v>
      </c>
      <c r="G25" s="2">
        <v>50750</v>
      </c>
      <c r="H25" s="2">
        <f t="shared" si="0"/>
        <v>870000</v>
      </c>
      <c r="I25" s="2">
        <f t="shared" si="1"/>
        <v>261000</v>
      </c>
      <c r="P25" s="4" cm="1">
        <f t="array" ref="P25:P123">F2:F100*G2:G100</f>
        <v>7014007000</v>
      </c>
    </row>
    <row r="26" spans="1:16" x14ac:dyDescent="0.3">
      <c r="A26" s="1">
        <v>45435</v>
      </c>
      <c r="B26" t="s">
        <v>7</v>
      </c>
      <c r="C26" t="s">
        <v>11</v>
      </c>
      <c r="D26" t="s">
        <v>12</v>
      </c>
      <c r="E26">
        <v>5</v>
      </c>
      <c r="F26" s="4">
        <v>8300</v>
      </c>
      <c r="G26" s="2">
        <v>4565</v>
      </c>
      <c r="H26" s="2">
        <f t="shared" si="0"/>
        <v>41500</v>
      </c>
      <c r="I26" s="2">
        <f t="shared" si="1"/>
        <v>18675</v>
      </c>
      <c r="P26">
        <v>156162500</v>
      </c>
    </row>
    <row r="27" spans="1:16" x14ac:dyDescent="0.3">
      <c r="A27" s="1">
        <v>45222</v>
      </c>
      <c r="B27" t="s">
        <v>18</v>
      </c>
      <c r="C27" t="s">
        <v>5</v>
      </c>
      <c r="D27" t="s">
        <v>9</v>
      </c>
      <c r="E27">
        <v>13</v>
      </c>
      <c r="F27" s="4">
        <v>42600</v>
      </c>
      <c r="G27" s="2">
        <v>27690</v>
      </c>
      <c r="H27" s="2">
        <f t="shared" si="0"/>
        <v>553800</v>
      </c>
      <c r="I27" s="2">
        <f t="shared" si="1"/>
        <v>193830</v>
      </c>
      <c r="P27">
        <v>6737500</v>
      </c>
    </row>
    <row r="28" spans="1:16" x14ac:dyDescent="0.3">
      <c r="A28" s="1">
        <v>45824</v>
      </c>
      <c r="B28" t="s">
        <v>15</v>
      </c>
      <c r="C28" t="s">
        <v>20</v>
      </c>
      <c r="D28" t="s">
        <v>9</v>
      </c>
      <c r="E28">
        <v>1</v>
      </c>
      <c r="F28" s="4">
        <v>18100</v>
      </c>
      <c r="G28" s="2">
        <v>11765</v>
      </c>
      <c r="H28" s="2">
        <f t="shared" si="0"/>
        <v>18100</v>
      </c>
      <c r="I28" s="2">
        <f t="shared" si="1"/>
        <v>6335</v>
      </c>
      <c r="P28">
        <v>180000</v>
      </c>
    </row>
    <row r="29" spans="1:16" x14ac:dyDescent="0.3">
      <c r="A29" s="1">
        <v>44988</v>
      </c>
      <c r="B29" t="s">
        <v>18</v>
      </c>
      <c r="C29" t="s">
        <v>11</v>
      </c>
      <c r="D29" t="s">
        <v>9</v>
      </c>
      <c r="E29">
        <v>4</v>
      </c>
      <c r="F29" s="4">
        <v>27300</v>
      </c>
      <c r="G29" s="2">
        <v>17745</v>
      </c>
      <c r="H29" s="2">
        <f t="shared" si="0"/>
        <v>109200</v>
      </c>
      <c r="I29" s="2">
        <f t="shared" si="1"/>
        <v>38220</v>
      </c>
      <c r="P29">
        <v>6737500</v>
      </c>
    </row>
    <row r="30" spans="1:16" x14ac:dyDescent="0.3">
      <c r="A30" s="1">
        <v>45614</v>
      </c>
      <c r="B30" t="s">
        <v>16</v>
      </c>
      <c r="C30" t="s">
        <v>8</v>
      </c>
      <c r="D30" t="s">
        <v>6</v>
      </c>
      <c r="E30">
        <v>1</v>
      </c>
      <c r="F30" s="4">
        <v>54200</v>
      </c>
      <c r="G30" s="2">
        <v>37940</v>
      </c>
      <c r="H30" s="2">
        <f t="shared" si="0"/>
        <v>54200</v>
      </c>
      <c r="I30" s="2">
        <f t="shared" si="1"/>
        <v>16260</v>
      </c>
      <c r="P30">
        <v>41600000</v>
      </c>
    </row>
    <row r="31" spans="1:16" x14ac:dyDescent="0.3">
      <c r="A31" s="1">
        <v>45055</v>
      </c>
      <c r="B31" t="s">
        <v>16</v>
      </c>
      <c r="C31" t="s">
        <v>13</v>
      </c>
      <c r="D31" t="s">
        <v>21</v>
      </c>
      <c r="E31">
        <v>1</v>
      </c>
      <c r="F31" s="4">
        <v>24500</v>
      </c>
      <c r="G31" s="2">
        <v>14700</v>
      </c>
      <c r="H31" s="2">
        <f t="shared" si="0"/>
        <v>24500</v>
      </c>
      <c r="I31" s="2">
        <f t="shared" si="1"/>
        <v>9800</v>
      </c>
      <c r="P31">
        <v>125000</v>
      </c>
    </row>
    <row r="32" spans="1:16" x14ac:dyDescent="0.3">
      <c r="A32" s="1">
        <v>45633</v>
      </c>
      <c r="B32" t="s">
        <v>15</v>
      </c>
      <c r="C32" t="s">
        <v>11</v>
      </c>
      <c r="D32" t="s">
        <v>21</v>
      </c>
      <c r="E32">
        <v>12</v>
      </c>
      <c r="F32" s="4">
        <v>28300</v>
      </c>
      <c r="G32" s="2">
        <v>16980</v>
      </c>
      <c r="H32" s="2">
        <f t="shared" si="0"/>
        <v>339600</v>
      </c>
      <c r="I32" s="2">
        <f t="shared" si="1"/>
        <v>135840</v>
      </c>
      <c r="P32">
        <v>45000</v>
      </c>
    </row>
    <row r="33" spans="1:16" x14ac:dyDescent="0.3">
      <c r="A33" s="1">
        <v>45335</v>
      </c>
      <c r="B33" t="s">
        <v>15</v>
      </c>
      <c r="C33" t="s">
        <v>11</v>
      </c>
      <c r="D33" t="s">
        <v>9</v>
      </c>
      <c r="E33">
        <v>7</v>
      </c>
      <c r="F33" s="4">
        <v>31400</v>
      </c>
      <c r="G33" s="2">
        <v>20410</v>
      </c>
      <c r="H33" s="2">
        <f t="shared" si="0"/>
        <v>219800</v>
      </c>
      <c r="I33" s="2">
        <f t="shared" si="1"/>
        <v>76930</v>
      </c>
      <c r="P33">
        <v>80000</v>
      </c>
    </row>
    <row r="34" spans="1:16" x14ac:dyDescent="0.3">
      <c r="A34" s="1">
        <v>45725</v>
      </c>
      <c r="B34" t="s">
        <v>16</v>
      </c>
      <c r="C34" t="s">
        <v>8</v>
      </c>
      <c r="D34" t="s">
        <v>12</v>
      </c>
      <c r="E34">
        <v>6</v>
      </c>
      <c r="F34" s="4">
        <v>7100</v>
      </c>
      <c r="G34" s="2">
        <v>3905</v>
      </c>
      <c r="H34" s="2">
        <f t="shared" si="0"/>
        <v>42600</v>
      </c>
      <c r="I34" s="2">
        <f t="shared" si="1"/>
        <v>19170</v>
      </c>
      <c r="P34">
        <v>2909500</v>
      </c>
    </row>
    <row r="35" spans="1:16" x14ac:dyDescent="0.3">
      <c r="A35" s="1">
        <v>45021</v>
      </c>
      <c r="B35" t="s">
        <v>10</v>
      </c>
      <c r="C35" t="s">
        <v>13</v>
      </c>
      <c r="D35" t="s">
        <v>12</v>
      </c>
      <c r="E35">
        <v>17</v>
      </c>
      <c r="F35" s="4">
        <v>11500</v>
      </c>
      <c r="G35" s="2">
        <v>6325</v>
      </c>
      <c r="H35" s="2">
        <f t="shared" si="0"/>
        <v>195500</v>
      </c>
      <c r="I35" s="2">
        <f t="shared" si="1"/>
        <v>87975</v>
      </c>
      <c r="P35">
        <v>137500</v>
      </c>
    </row>
    <row r="36" spans="1:16" x14ac:dyDescent="0.3">
      <c r="A36" s="1">
        <v>45785</v>
      </c>
      <c r="B36" t="s">
        <v>18</v>
      </c>
      <c r="C36" t="s">
        <v>11</v>
      </c>
      <c r="D36" t="s">
        <v>17</v>
      </c>
      <c r="E36">
        <v>4</v>
      </c>
      <c r="F36" s="4">
        <v>15600</v>
      </c>
      <c r="G36" s="2">
        <v>10140</v>
      </c>
      <c r="H36" s="2">
        <f t="shared" si="0"/>
        <v>62400</v>
      </c>
      <c r="I36" s="2">
        <f t="shared" si="1"/>
        <v>21840</v>
      </c>
      <c r="P36">
        <v>260000000</v>
      </c>
    </row>
    <row r="37" spans="1:16" x14ac:dyDescent="0.3">
      <c r="A37" s="1">
        <v>45172</v>
      </c>
      <c r="B37" t="s">
        <v>10</v>
      </c>
      <c r="C37" t="s">
        <v>11</v>
      </c>
      <c r="D37" t="s">
        <v>21</v>
      </c>
      <c r="E37">
        <v>14</v>
      </c>
      <c r="F37" s="4">
        <v>22100</v>
      </c>
      <c r="G37" s="2">
        <v>13260</v>
      </c>
      <c r="H37" s="2">
        <f t="shared" si="0"/>
        <v>309400</v>
      </c>
      <c r="I37" s="2">
        <f t="shared" si="1"/>
        <v>123760</v>
      </c>
      <c r="P37">
        <v>93600000</v>
      </c>
    </row>
    <row r="38" spans="1:16" x14ac:dyDescent="0.3">
      <c r="A38" s="1">
        <v>45737</v>
      </c>
      <c r="B38" t="s">
        <v>16</v>
      </c>
      <c r="C38" t="s">
        <v>13</v>
      </c>
      <c r="D38" t="s">
        <v>14</v>
      </c>
      <c r="E38">
        <v>9</v>
      </c>
      <c r="F38" s="4">
        <v>4300</v>
      </c>
      <c r="G38" s="2">
        <v>2150</v>
      </c>
      <c r="H38" s="2">
        <f t="shared" si="0"/>
        <v>38700</v>
      </c>
      <c r="I38" s="2">
        <f t="shared" si="1"/>
        <v>19350</v>
      </c>
      <c r="P38">
        <v>1247616000</v>
      </c>
    </row>
    <row r="39" spans="1:16" x14ac:dyDescent="0.3">
      <c r="A39" s="1">
        <v>45828</v>
      </c>
      <c r="B39" t="s">
        <v>18</v>
      </c>
      <c r="C39" t="s">
        <v>8</v>
      </c>
      <c r="D39" t="s">
        <v>14</v>
      </c>
      <c r="E39">
        <v>7</v>
      </c>
      <c r="F39" s="4">
        <v>4300</v>
      </c>
      <c r="G39" s="2">
        <v>2150</v>
      </c>
      <c r="H39" s="2">
        <f t="shared" si="0"/>
        <v>30100</v>
      </c>
      <c r="I39" s="2">
        <f t="shared" si="1"/>
        <v>15050</v>
      </c>
      <c r="P39">
        <v>792000</v>
      </c>
    </row>
    <row r="40" spans="1:16" x14ac:dyDescent="0.3">
      <c r="A40" s="1">
        <v>45337</v>
      </c>
      <c r="B40" t="s">
        <v>19</v>
      </c>
      <c r="C40" t="s">
        <v>13</v>
      </c>
      <c r="D40" t="s">
        <v>22</v>
      </c>
      <c r="E40">
        <v>14</v>
      </c>
      <c r="F40" s="4">
        <v>18400</v>
      </c>
      <c r="G40" s="2">
        <v>11040</v>
      </c>
      <c r="H40" s="2">
        <f t="shared" si="0"/>
        <v>257600</v>
      </c>
      <c r="I40" s="2">
        <f t="shared" si="1"/>
        <v>103040</v>
      </c>
      <c r="P40">
        <v>180000</v>
      </c>
    </row>
    <row r="41" spans="1:16" x14ac:dyDescent="0.3">
      <c r="A41" s="1">
        <v>45086</v>
      </c>
      <c r="B41" t="s">
        <v>10</v>
      </c>
      <c r="C41" t="s">
        <v>13</v>
      </c>
      <c r="D41" t="s">
        <v>6</v>
      </c>
      <c r="E41">
        <v>2</v>
      </c>
      <c r="F41" s="4">
        <v>68500</v>
      </c>
      <c r="G41" s="2">
        <v>47950</v>
      </c>
      <c r="H41" s="2">
        <f t="shared" si="0"/>
        <v>137000</v>
      </c>
      <c r="I41" s="2">
        <f t="shared" si="1"/>
        <v>41100</v>
      </c>
      <c r="P41">
        <v>2132928000</v>
      </c>
    </row>
    <row r="42" spans="1:16" x14ac:dyDescent="0.3">
      <c r="A42" s="1">
        <v>45148</v>
      </c>
      <c r="B42" t="s">
        <v>7</v>
      </c>
      <c r="C42" t="s">
        <v>8</v>
      </c>
      <c r="D42" t="s">
        <v>22</v>
      </c>
      <c r="E42">
        <v>5</v>
      </c>
      <c r="F42" s="4">
        <v>17500</v>
      </c>
      <c r="G42" s="2">
        <v>10500</v>
      </c>
      <c r="H42" s="2">
        <f t="shared" si="0"/>
        <v>87500</v>
      </c>
      <c r="I42" s="2">
        <f t="shared" si="1"/>
        <v>35000</v>
      </c>
      <c r="P42">
        <v>352000</v>
      </c>
    </row>
    <row r="43" spans="1:16" x14ac:dyDescent="0.3">
      <c r="A43" s="1">
        <v>45459</v>
      </c>
      <c r="B43" t="s">
        <v>7</v>
      </c>
      <c r="C43" t="s">
        <v>13</v>
      </c>
      <c r="D43" t="s">
        <v>22</v>
      </c>
      <c r="E43">
        <v>20</v>
      </c>
      <c r="F43" s="4">
        <v>21100</v>
      </c>
      <c r="G43" s="2">
        <v>12660</v>
      </c>
      <c r="H43" s="2">
        <f t="shared" si="0"/>
        <v>422000</v>
      </c>
      <c r="I43" s="2">
        <f t="shared" si="1"/>
        <v>168800</v>
      </c>
      <c r="P43">
        <v>85962500</v>
      </c>
    </row>
    <row r="44" spans="1:16" x14ac:dyDescent="0.3">
      <c r="A44" s="1">
        <v>45130</v>
      </c>
      <c r="B44" t="s">
        <v>7</v>
      </c>
      <c r="C44" t="s">
        <v>8</v>
      </c>
      <c r="D44" t="s">
        <v>6</v>
      </c>
      <c r="E44">
        <v>12</v>
      </c>
      <c r="F44" s="4">
        <v>60000</v>
      </c>
      <c r="G44" s="2">
        <v>42000</v>
      </c>
      <c r="H44" s="2">
        <f t="shared" si="0"/>
        <v>720000</v>
      </c>
      <c r="I44" s="2">
        <f t="shared" si="1"/>
        <v>216000</v>
      </c>
      <c r="P44">
        <v>792000</v>
      </c>
    </row>
    <row r="45" spans="1:16" x14ac:dyDescent="0.3">
      <c r="A45" s="1">
        <v>45066</v>
      </c>
      <c r="B45" t="s">
        <v>16</v>
      </c>
      <c r="C45" t="s">
        <v>13</v>
      </c>
      <c r="D45" t="s">
        <v>22</v>
      </c>
      <c r="E45">
        <v>4</v>
      </c>
      <c r="F45" s="4">
        <v>14500</v>
      </c>
      <c r="G45" s="2">
        <v>8700</v>
      </c>
      <c r="H45" s="2">
        <f t="shared" si="0"/>
        <v>58000</v>
      </c>
      <c r="I45" s="2">
        <f t="shared" si="1"/>
        <v>23200</v>
      </c>
      <c r="P45">
        <v>678138500</v>
      </c>
    </row>
    <row r="46" spans="1:16" x14ac:dyDescent="0.3">
      <c r="A46" s="1">
        <v>45107</v>
      </c>
      <c r="B46" t="s">
        <v>7</v>
      </c>
      <c r="C46" t="s">
        <v>8</v>
      </c>
      <c r="D46" t="s">
        <v>6</v>
      </c>
      <c r="E46">
        <v>2</v>
      </c>
      <c r="F46" s="4">
        <v>66400</v>
      </c>
      <c r="G46" s="2">
        <v>46480</v>
      </c>
      <c r="H46" s="2">
        <f t="shared" si="0"/>
        <v>132800</v>
      </c>
      <c r="I46" s="2">
        <f t="shared" si="1"/>
        <v>39840</v>
      </c>
      <c r="P46">
        <v>9245000</v>
      </c>
    </row>
    <row r="47" spans="1:16" x14ac:dyDescent="0.3">
      <c r="A47" s="1">
        <v>45447</v>
      </c>
      <c r="B47" t="s">
        <v>10</v>
      </c>
      <c r="C47" t="s">
        <v>8</v>
      </c>
      <c r="D47" t="s">
        <v>21</v>
      </c>
      <c r="E47">
        <v>16</v>
      </c>
      <c r="F47" s="4">
        <v>27300</v>
      </c>
      <c r="G47" s="2">
        <v>16380</v>
      </c>
      <c r="H47" s="2">
        <f t="shared" si="0"/>
        <v>436800</v>
      </c>
      <c r="I47" s="2">
        <f t="shared" si="1"/>
        <v>174720</v>
      </c>
      <c r="P47">
        <v>2994012000</v>
      </c>
    </row>
    <row r="48" spans="1:16" x14ac:dyDescent="0.3">
      <c r="A48" s="1">
        <v>45691</v>
      </c>
      <c r="B48" t="s">
        <v>15</v>
      </c>
      <c r="C48" t="s">
        <v>20</v>
      </c>
      <c r="D48" t="s">
        <v>14</v>
      </c>
      <c r="E48">
        <v>11</v>
      </c>
      <c r="F48" s="4">
        <v>3000</v>
      </c>
      <c r="G48" s="2">
        <v>2100</v>
      </c>
      <c r="H48" s="2">
        <f t="shared" si="0"/>
        <v>33000</v>
      </c>
      <c r="I48" s="2">
        <f t="shared" si="1"/>
        <v>9900</v>
      </c>
      <c r="P48">
        <v>3679375000</v>
      </c>
    </row>
    <row r="49" spans="1:16" x14ac:dyDescent="0.3">
      <c r="A49" s="1">
        <v>45300</v>
      </c>
      <c r="B49" t="s">
        <v>15</v>
      </c>
      <c r="C49" t="s">
        <v>5</v>
      </c>
      <c r="D49" t="s">
        <v>21</v>
      </c>
      <c r="E49">
        <v>8</v>
      </c>
      <c r="F49" s="4">
        <v>30600</v>
      </c>
      <c r="G49" s="2">
        <v>18360</v>
      </c>
      <c r="H49" s="2">
        <f t="shared" si="0"/>
        <v>244800</v>
      </c>
      <c r="I49" s="2">
        <f t="shared" si="1"/>
        <v>97920</v>
      </c>
      <c r="P49">
        <v>37889500</v>
      </c>
    </row>
    <row r="50" spans="1:16" x14ac:dyDescent="0.3">
      <c r="A50" s="1">
        <v>45365</v>
      </c>
      <c r="B50" t="s">
        <v>7</v>
      </c>
      <c r="C50" t="s">
        <v>11</v>
      </c>
      <c r="D50" t="s">
        <v>12</v>
      </c>
      <c r="E50">
        <v>5</v>
      </c>
      <c r="F50" s="4">
        <v>9200</v>
      </c>
      <c r="G50" s="2">
        <v>4600</v>
      </c>
      <c r="H50" s="2">
        <f t="shared" si="0"/>
        <v>46000</v>
      </c>
      <c r="I50" s="2">
        <f t="shared" si="1"/>
        <v>23000</v>
      </c>
      <c r="P50">
        <v>1179594000</v>
      </c>
    </row>
    <row r="51" spans="1:16" x14ac:dyDescent="0.3">
      <c r="A51" s="1">
        <v>45541</v>
      </c>
      <c r="B51" t="s">
        <v>10</v>
      </c>
      <c r="C51" t="s">
        <v>20</v>
      </c>
      <c r="D51" t="s">
        <v>17</v>
      </c>
      <c r="E51">
        <v>14</v>
      </c>
      <c r="F51" s="4">
        <v>16200</v>
      </c>
      <c r="G51" s="2">
        <v>9720</v>
      </c>
      <c r="H51" s="2">
        <f t="shared" si="0"/>
        <v>226800</v>
      </c>
      <c r="I51" s="2">
        <f t="shared" si="1"/>
        <v>90720</v>
      </c>
      <c r="P51">
        <v>212946500</v>
      </c>
    </row>
    <row r="52" spans="1:16" x14ac:dyDescent="0.3">
      <c r="A52" s="1">
        <v>45002</v>
      </c>
      <c r="B52" t="s">
        <v>15</v>
      </c>
      <c r="C52" t="s">
        <v>5</v>
      </c>
      <c r="D52" t="s">
        <v>17</v>
      </c>
      <c r="E52">
        <v>13</v>
      </c>
      <c r="F52" s="4">
        <v>14100</v>
      </c>
      <c r="G52" s="2">
        <v>7755</v>
      </c>
      <c r="H52" s="2">
        <f t="shared" si="0"/>
        <v>183300</v>
      </c>
      <c r="I52" s="2">
        <f t="shared" si="1"/>
        <v>82485</v>
      </c>
      <c r="P52">
        <v>484438500</v>
      </c>
    </row>
    <row r="53" spans="1:16" x14ac:dyDescent="0.3">
      <c r="A53" s="1">
        <v>45674</v>
      </c>
      <c r="B53" t="s">
        <v>10</v>
      </c>
      <c r="C53" t="s">
        <v>20</v>
      </c>
      <c r="D53" t="s">
        <v>14</v>
      </c>
      <c r="E53">
        <v>2</v>
      </c>
      <c r="F53" s="4">
        <v>3300</v>
      </c>
      <c r="G53" s="2">
        <v>1650</v>
      </c>
      <c r="H53" s="2">
        <f t="shared" si="0"/>
        <v>6600</v>
      </c>
      <c r="I53" s="2">
        <f t="shared" si="1"/>
        <v>3300</v>
      </c>
      <c r="P53">
        <v>2056348000</v>
      </c>
    </row>
    <row r="54" spans="1:16" x14ac:dyDescent="0.3">
      <c r="A54" s="1">
        <v>45547</v>
      </c>
      <c r="B54" t="s">
        <v>7</v>
      </c>
      <c r="C54" t="s">
        <v>8</v>
      </c>
      <c r="D54" t="s">
        <v>6</v>
      </c>
      <c r="E54">
        <v>1</v>
      </c>
      <c r="F54" s="4">
        <v>55300</v>
      </c>
      <c r="G54" s="2">
        <v>38710</v>
      </c>
      <c r="H54" s="2">
        <f t="shared" si="0"/>
        <v>55300</v>
      </c>
      <c r="I54" s="2">
        <f t="shared" si="1"/>
        <v>16590</v>
      </c>
      <c r="P54">
        <v>360150000</v>
      </c>
    </row>
    <row r="55" spans="1:16" x14ac:dyDescent="0.3">
      <c r="A55" s="1">
        <v>45296</v>
      </c>
      <c r="B55" t="s">
        <v>19</v>
      </c>
      <c r="C55" t="s">
        <v>8</v>
      </c>
      <c r="D55" t="s">
        <v>17</v>
      </c>
      <c r="E55">
        <v>2</v>
      </c>
      <c r="F55" s="4">
        <v>12400</v>
      </c>
      <c r="G55" s="2">
        <v>8060</v>
      </c>
      <c r="H55" s="2">
        <f t="shared" si="0"/>
        <v>24800</v>
      </c>
      <c r="I55" s="2">
        <f t="shared" si="1"/>
        <v>8680</v>
      </c>
      <c r="P55">
        <v>480534000</v>
      </c>
    </row>
    <row r="56" spans="1:16" x14ac:dyDescent="0.3">
      <c r="A56" s="1">
        <v>45401</v>
      </c>
      <c r="B56" t="s">
        <v>18</v>
      </c>
      <c r="C56" t="s">
        <v>20</v>
      </c>
      <c r="D56" t="s">
        <v>21</v>
      </c>
      <c r="E56">
        <v>11</v>
      </c>
      <c r="F56" s="4">
        <v>29300</v>
      </c>
      <c r="G56" s="2">
        <v>17580</v>
      </c>
      <c r="H56" s="2">
        <f t="shared" si="0"/>
        <v>322300</v>
      </c>
      <c r="I56" s="2">
        <f t="shared" si="1"/>
        <v>128920</v>
      </c>
      <c r="P56">
        <v>640874000</v>
      </c>
    </row>
    <row r="57" spans="1:16" x14ac:dyDescent="0.3">
      <c r="A57" s="1">
        <v>45819</v>
      </c>
      <c r="B57" t="s">
        <v>7</v>
      </c>
      <c r="C57" t="s">
        <v>13</v>
      </c>
      <c r="D57" t="s">
        <v>21</v>
      </c>
      <c r="E57">
        <v>11</v>
      </c>
      <c r="F57" s="4">
        <v>27200</v>
      </c>
      <c r="G57" s="2">
        <v>16320</v>
      </c>
      <c r="H57" s="2">
        <f t="shared" si="0"/>
        <v>299200</v>
      </c>
      <c r="I57" s="2">
        <f t="shared" si="1"/>
        <v>119680</v>
      </c>
      <c r="P57">
        <v>27725500</v>
      </c>
    </row>
    <row r="58" spans="1:16" x14ac:dyDescent="0.3">
      <c r="A58" s="1">
        <v>45722</v>
      </c>
      <c r="B58" t="s">
        <v>16</v>
      </c>
      <c r="C58" t="s">
        <v>5</v>
      </c>
      <c r="D58" t="s">
        <v>9</v>
      </c>
      <c r="E58">
        <v>17</v>
      </c>
      <c r="F58" s="4">
        <v>35100</v>
      </c>
      <c r="G58" s="2">
        <v>22815</v>
      </c>
      <c r="H58" s="2">
        <f t="shared" si="0"/>
        <v>596700</v>
      </c>
      <c r="I58" s="2">
        <f t="shared" si="1"/>
        <v>208845</v>
      </c>
      <c r="P58">
        <v>72737500</v>
      </c>
    </row>
    <row r="59" spans="1:16" x14ac:dyDescent="0.3">
      <c r="A59" s="1">
        <v>45070</v>
      </c>
      <c r="B59" t="s">
        <v>7</v>
      </c>
      <c r="C59" t="s">
        <v>5</v>
      </c>
      <c r="D59" t="s">
        <v>14</v>
      </c>
      <c r="E59">
        <v>5</v>
      </c>
      <c r="F59" s="4">
        <v>3100</v>
      </c>
      <c r="G59" s="2">
        <v>1550</v>
      </c>
      <c r="H59" s="2">
        <f t="shared" si="0"/>
        <v>15500</v>
      </c>
      <c r="I59" s="2">
        <f t="shared" si="1"/>
        <v>7750</v>
      </c>
      <c r="P59">
        <v>158184000</v>
      </c>
    </row>
    <row r="60" spans="1:16" x14ac:dyDescent="0.3">
      <c r="A60" s="1">
        <v>44953</v>
      </c>
      <c r="B60" t="s">
        <v>19</v>
      </c>
      <c r="C60" t="s">
        <v>8</v>
      </c>
      <c r="D60" t="s">
        <v>9</v>
      </c>
      <c r="E60">
        <v>11</v>
      </c>
      <c r="F60" s="4">
        <v>38400</v>
      </c>
      <c r="G60" s="2">
        <v>24960</v>
      </c>
      <c r="H60" s="2">
        <f t="shared" si="0"/>
        <v>422400</v>
      </c>
      <c r="I60" s="2">
        <f t="shared" si="1"/>
        <v>147840</v>
      </c>
      <c r="P60">
        <v>293046000</v>
      </c>
    </row>
    <row r="61" spans="1:16" x14ac:dyDescent="0.3">
      <c r="A61" s="1">
        <v>45372</v>
      </c>
      <c r="B61" t="s">
        <v>19</v>
      </c>
      <c r="C61" t="s">
        <v>8</v>
      </c>
      <c r="D61" t="s">
        <v>6</v>
      </c>
      <c r="E61">
        <v>18</v>
      </c>
      <c r="F61" s="4">
        <v>74300</v>
      </c>
      <c r="G61" s="2">
        <v>52010</v>
      </c>
      <c r="H61" s="2">
        <f t="shared" si="0"/>
        <v>1337400</v>
      </c>
      <c r="I61" s="2">
        <f t="shared" si="1"/>
        <v>401220</v>
      </c>
      <c r="P61">
        <v>9245000</v>
      </c>
    </row>
    <row r="62" spans="1:16" x14ac:dyDescent="0.3">
      <c r="A62" s="1">
        <v>45682</v>
      </c>
      <c r="B62" t="s">
        <v>15</v>
      </c>
      <c r="C62" t="s">
        <v>20</v>
      </c>
      <c r="D62" t="s">
        <v>6</v>
      </c>
      <c r="E62">
        <v>20</v>
      </c>
      <c r="F62" s="4">
        <v>78300</v>
      </c>
      <c r="G62" s="2">
        <v>54810</v>
      </c>
      <c r="H62" s="2">
        <f t="shared" si="0"/>
        <v>1566000</v>
      </c>
      <c r="I62" s="2">
        <f t="shared" si="1"/>
        <v>469800</v>
      </c>
      <c r="P62">
        <v>9245000</v>
      </c>
    </row>
    <row r="63" spans="1:16" x14ac:dyDescent="0.3">
      <c r="A63" s="1">
        <v>45089</v>
      </c>
      <c r="B63" t="s">
        <v>7</v>
      </c>
      <c r="C63" t="s">
        <v>13</v>
      </c>
      <c r="D63" t="s">
        <v>9</v>
      </c>
      <c r="E63">
        <v>8</v>
      </c>
      <c r="F63" s="4">
        <v>29300</v>
      </c>
      <c r="G63" s="2">
        <v>19045</v>
      </c>
      <c r="H63" s="2">
        <f t="shared" si="0"/>
        <v>234400</v>
      </c>
      <c r="I63" s="2">
        <f t="shared" si="1"/>
        <v>82040</v>
      </c>
      <c r="P63">
        <v>203136000</v>
      </c>
    </row>
    <row r="64" spans="1:16" x14ac:dyDescent="0.3">
      <c r="A64" s="1">
        <v>45738</v>
      </c>
      <c r="B64" t="s">
        <v>10</v>
      </c>
      <c r="C64" t="s">
        <v>13</v>
      </c>
      <c r="D64" t="s">
        <v>14</v>
      </c>
      <c r="E64">
        <v>3</v>
      </c>
      <c r="F64" s="4">
        <v>4500</v>
      </c>
      <c r="G64" s="2">
        <v>2250</v>
      </c>
      <c r="H64" s="2">
        <f t="shared" si="0"/>
        <v>13500</v>
      </c>
      <c r="I64" s="2">
        <f t="shared" si="1"/>
        <v>6750</v>
      </c>
      <c r="P64">
        <v>3284575000</v>
      </c>
    </row>
    <row r="65" spans="1:16" x14ac:dyDescent="0.3">
      <c r="A65" s="1">
        <v>45346</v>
      </c>
      <c r="B65" t="s">
        <v>19</v>
      </c>
      <c r="C65" t="s">
        <v>13</v>
      </c>
      <c r="D65" t="s">
        <v>12</v>
      </c>
      <c r="E65">
        <v>16</v>
      </c>
      <c r="F65" s="4">
        <v>10000</v>
      </c>
      <c r="G65" s="2">
        <v>5500</v>
      </c>
      <c r="H65" s="2">
        <f t="shared" si="0"/>
        <v>160000</v>
      </c>
      <c r="I65" s="2">
        <f t="shared" si="1"/>
        <v>72000</v>
      </c>
      <c r="P65">
        <v>183750000</v>
      </c>
    </row>
    <row r="66" spans="1:16" x14ac:dyDescent="0.3">
      <c r="A66" s="1">
        <v>45269</v>
      </c>
      <c r="B66" t="s">
        <v>15</v>
      </c>
      <c r="C66" t="s">
        <v>8</v>
      </c>
      <c r="D66" t="s">
        <v>14</v>
      </c>
      <c r="E66">
        <v>15</v>
      </c>
      <c r="F66" s="4">
        <v>5500</v>
      </c>
      <c r="G66" s="2">
        <v>2750</v>
      </c>
      <c r="H66" s="2">
        <f t="shared" si="0"/>
        <v>82500</v>
      </c>
      <c r="I66" s="2">
        <f t="shared" si="1"/>
        <v>41250</v>
      </c>
      <c r="P66">
        <v>267126000</v>
      </c>
    </row>
    <row r="67" spans="1:16" x14ac:dyDescent="0.3">
      <c r="A67" s="1">
        <v>45200</v>
      </c>
      <c r="B67" t="s">
        <v>15</v>
      </c>
      <c r="C67" t="s">
        <v>13</v>
      </c>
      <c r="D67" t="s">
        <v>17</v>
      </c>
      <c r="E67">
        <v>3</v>
      </c>
      <c r="F67" s="4">
        <v>15100</v>
      </c>
      <c r="G67" s="2">
        <v>9815</v>
      </c>
      <c r="H67" s="2">
        <f t="shared" ref="H67:H100" si="2">E67*F67</f>
        <v>45300</v>
      </c>
      <c r="I67" s="2">
        <f t="shared" ref="I67:I100" si="3">H67-(G67*E67)</f>
        <v>15855</v>
      </c>
      <c r="P67">
        <v>2520000000</v>
      </c>
    </row>
    <row r="68" spans="1:16" x14ac:dyDescent="0.3">
      <c r="A68" s="1">
        <v>45138</v>
      </c>
      <c r="B68" t="s">
        <v>15</v>
      </c>
      <c r="C68" t="s">
        <v>20</v>
      </c>
      <c r="D68" t="s">
        <v>21</v>
      </c>
      <c r="E68">
        <v>5</v>
      </c>
      <c r="F68" s="4">
        <v>46500</v>
      </c>
      <c r="G68" s="2">
        <v>27900</v>
      </c>
      <c r="H68" s="2">
        <f t="shared" si="2"/>
        <v>232500</v>
      </c>
      <c r="I68" s="2">
        <f t="shared" si="3"/>
        <v>93000</v>
      </c>
      <c r="P68">
        <v>126150000</v>
      </c>
    </row>
    <row r="69" spans="1:16" x14ac:dyDescent="0.3">
      <c r="A69" s="1">
        <v>45650</v>
      </c>
      <c r="B69" t="s">
        <v>16</v>
      </c>
      <c r="C69" t="s">
        <v>8</v>
      </c>
      <c r="D69" t="s">
        <v>14</v>
      </c>
      <c r="E69">
        <v>8</v>
      </c>
      <c r="F69" s="4">
        <v>4400</v>
      </c>
      <c r="G69" s="2">
        <v>2200</v>
      </c>
      <c r="H69" s="2">
        <f t="shared" si="2"/>
        <v>35200</v>
      </c>
      <c r="I69" s="2">
        <f t="shared" si="3"/>
        <v>17600</v>
      </c>
      <c r="P69">
        <v>3086272000</v>
      </c>
    </row>
    <row r="70" spans="1:16" x14ac:dyDescent="0.3">
      <c r="A70" s="1">
        <v>45611</v>
      </c>
      <c r="B70" t="s">
        <v>19</v>
      </c>
      <c r="C70" t="s">
        <v>11</v>
      </c>
      <c r="D70" t="s">
        <v>9</v>
      </c>
      <c r="E70">
        <v>1</v>
      </c>
      <c r="F70" s="4">
        <v>18200</v>
      </c>
      <c r="G70" s="2">
        <v>11830</v>
      </c>
      <c r="H70" s="2">
        <f t="shared" si="2"/>
        <v>18200</v>
      </c>
      <c r="I70" s="2">
        <f t="shared" si="3"/>
        <v>6370</v>
      </c>
      <c r="P70">
        <v>447174000</v>
      </c>
    </row>
    <row r="71" spans="1:16" x14ac:dyDescent="0.3">
      <c r="A71" s="1">
        <v>45729</v>
      </c>
      <c r="B71" t="s">
        <v>16</v>
      </c>
      <c r="C71" t="s">
        <v>20</v>
      </c>
      <c r="D71" t="s">
        <v>17</v>
      </c>
      <c r="E71">
        <v>16</v>
      </c>
      <c r="F71" s="4">
        <v>17000</v>
      </c>
      <c r="G71" s="2">
        <v>11050</v>
      </c>
      <c r="H71" s="2">
        <f t="shared" si="2"/>
        <v>272000</v>
      </c>
      <c r="I71" s="2">
        <f t="shared" si="3"/>
        <v>95200</v>
      </c>
      <c r="P71">
        <v>6300000</v>
      </c>
    </row>
    <row r="72" spans="1:16" x14ac:dyDescent="0.3">
      <c r="A72" s="1">
        <v>45354</v>
      </c>
      <c r="B72" t="s">
        <v>10</v>
      </c>
      <c r="C72" t="s">
        <v>5</v>
      </c>
      <c r="D72" t="s">
        <v>21</v>
      </c>
      <c r="E72">
        <v>15</v>
      </c>
      <c r="F72" s="4">
        <v>30300</v>
      </c>
      <c r="G72" s="2">
        <v>18180</v>
      </c>
      <c r="H72" s="2">
        <f t="shared" si="2"/>
        <v>454500</v>
      </c>
      <c r="I72" s="2">
        <f t="shared" si="3"/>
        <v>181800</v>
      </c>
      <c r="P72">
        <v>561816000</v>
      </c>
    </row>
    <row r="73" spans="1:16" x14ac:dyDescent="0.3">
      <c r="A73" s="1">
        <v>44968</v>
      </c>
      <c r="B73" t="s">
        <v>7</v>
      </c>
      <c r="C73" t="s">
        <v>13</v>
      </c>
      <c r="D73" t="s">
        <v>21</v>
      </c>
      <c r="E73">
        <v>20</v>
      </c>
      <c r="F73" s="4">
        <v>34500</v>
      </c>
      <c r="G73" s="2">
        <v>20700</v>
      </c>
      <c r="H73" s="2">
        <f t="shared" si="2"/>
        <v>690000</v>
      </c>
      <c r="I73" s="2">
        <f t="shared" si="3"/>
        <v>276000</v>
      </c>
      <c r="P73">
        <v>42320000</v>
      </c>
    </row>
    <row r="74" spans="1:16" x14ac:dyDescent="0.3">
      <c r="A74" s="1">
        <v>45225</v>
      </c>
      <c r="B74" t="s">
        <v>16</v>
      </c>
      <c r="C74" t="s">
        <v>8</v>
      </c>
      <c r="D74" t="s">
        <v>12</v>
      </c>
      <c r="E74">
        <v>13</v>
      </c>
      <c r="F74" s="4">
        <v>11500</v>
      </c>
      <c r="G74" s="2">
        <v>6325</v>
      </c>
      <c r="H74" s="2">
        <f t="shared" si="2"/>
        <v>149500</v>
      </c>
      <c r="I74" s="2">
        <f t="shared" si="3"/>
        <v>67275</v>
      </c>
      <c r="P74">
        <v>157464000</v>
      </c>
    </row>
    <row r="75" spans="1:16" x14ac:dyDescent="0.3">
      <c r="A75" s="1">
        <v>45220</v>
      </c>
      <c r="B75" t="s">
        <v>10</v>
      </c>
      <c r="C75" t="s">
        <v>8</v>
      </c>
      <c r="D75" t="s">
        <v>17</v>
      </c>
      <c r="E75">
        <v>13</v>
      </c>
      <c r="F75" s="4">
        <v>15200</v>
      </c>
      <c r="G75" s="2">
        <v>9880</v>
      </c>
      <c r="H75" s="2">
        <f t="shared" si="2"/>
        <v>197600</v>
      </c>
      <c r="I75" s="2">
        <f t="shared" si="3"/>
        <v>69160</v>
      </c>
      <c r="P75">
        <v>109345500</v>
      </c>
    </row>
    <row r="76" spans="1:16" x14ac:dyDescent="0.3">
      <c r="A76" s="1">
        <v>45305</v>
      </c>
      <c r="B76" t="s">
        <v>18</v>
      </c>
      <c r="C76" t="s">
        <v>13</v>
      </c>
      <c r="D76" t="s">
        <v>21</v>
      </c>
      <c r="E76">
        <v>19</v>
      </c>
      <c r="F76" s="4">
        <v>28000</v>
      </c>
      <c r="G76" s="2">
        <v>16800</v>
      </c>
      <c r="H76" s="2">
        <f t="shared" si="2"/>
        <v>532000</v>
      </c>
      <c r="I76" s="2">
        <f t="shared" si="3"/>
        <v>212800</v>
      </c>
      <c r="P76">
        <v>5445000</v>
      </c>
    </row>
    <row r="77" spans="1:16" x14ac:dyDescent="0.3">
      <c r="A77" s="1">
        <v>45134</v>
      </c>
      <c r="B77" t="s">
        <v>7</v>
      </c>
      <c r="C77" t="s">
        <v>13</v>
      </c>
      <c r="D77" t="s">
        <v>12</v>
      </c>
      <c r="E77">
        <v>10</v>
      </c>
      <c r="F77" s="4">
        <v>10600</v>
      </c>
      <c r="G77" s="2">
        <v>5830</v>
      </c>
      <c r="H77" s="2">
        <f t="shared" si="2"/>
        <v>106000</v>
      </c>
      <c r="I77" s="2">
        <f t="shared" si="3"/>
        <v>47700</v>
      </c>
      <c r="P77">
        <v>2140663000</v>
      </c>
    </row>
    <row r="78" spans="1:16" x14ac:dyDescent="0.3">
      <c r="A78" s="1">
        <v>45588</v>
      </c>
      <c r="B78" t="s">
        <v>19</v>
      </c>
      <c r="C78" t="s">
        <v>8</v>
      </c>
      <c r="D78" t="s">
        <v>9</v>
      </c>
      <c r="E78">
        <v>14</v>
      </c>
      <c r="F78" s="4">
        <v>41400</v>
      </c>
      <c r="G78" s="2">
        <v>26910</v>
      </c>
      <c r="H78" s="2">
        <f t="shared" si="2"/>
        <v>579600</v>
      </c>
      <c r="I78" s="2">
        <f t="shared" si="3"/>
        <v>202860</v>
      </c>
      <c r="P78">
        <v>99944000</v>
      </c>
    </row>
    <row r="79" spans="1:16" x14ac:dyDescent="0.3">
      <c r="A79" s="1">
        <v>45195</v>
      </c>
      <c r="B79" t="s">
        <v>10</v>
      </c>
      <c r="C79" t="s">
        <v>8</v>
      </c>
      <c r="D79" t="s">
        <v>14</v>
      </c>
      <c r="E79">
        <v>5</v>
      </c>
      <c r="F79" s="4">
        <v>5600</v>
      </c>
      <c r="G79" s="2">
        <v>2800</v>
      </c>
      <c r="H79" s="2">
        <f t="shared" si="2"/>
        <v>28000</v>
      </c>
      <c r="I79" s="2">
        <f t="shared" si="3"/>
        <v>14000</v>
      </c>
      <c r="P79">
        <v>515094000</v>
      </c>
    </row>
    <row r="80" spans="1:16" x14ac:dyDescent="0.3">
      <c r="A80" s="1">
        <v>45276</v>
      </c>
      <c r="B80" t="s">
        <v>16</v>
      </c>
      <c r="C80" t="s">
        <v>5</v>
      </c>
      <c r="D80" t="s">
        <v>9</v>
      </c>
      <c r="E80">
        <v>13</v>
      </c>
      <c r="F80" s="4">
        <v>36200</v>
      </c>
      <c r="G80" s="2">
        <v>23530</v>
      </c>
      <c r="H80" s="2">
        <f t="shared" si="2"/>
        <v>470600</v>
      </c>
      <c r="I80" s="2">
        <f t="shared" si="3"/>
        <v>164710</v>
      </c>
      <c r="P80">
        <v>443904000</v>
      </c>
    </row>
    <row r="81" spans="1:16" x14ac:dyDescent="0.3">
      <c r="A81" s="1">
        <v>45293</v>
      </c>
      <c r="B81" t="s">
        <v>10</v>
      </c>
      <c r="C81" t="s">
        <v>13</v>
      </c>
      <c r="D81" t="s">
        <v>22</v>
      </c>
      <c r="E81">
        <v>9</v>
      </c>
      <c r="F81" s="4">
        <v>19400</v>
      </c>
      <c r="G81" s="2">
        <v>11640</v>
      </c>
      <c r="H81" s="2">
        <f t="shared" si="2"/>
        <v>174600</v>
      </c>
      <c r="I81" s="2">
        <f t="shared" si="3"/>
        <v>69840</v>
      </c>
      <c r="P81">
        <v>800806500</v>
      </c>
    </row>
    <row r="82" spans="1:16" x14ac:dyDescent="0.3">
      <c r="A82" s="1">
        <v>45338</v>
      </c>
      <c r="B82" t="s">
        <v>10</v>
      </c>
      <c r="C82" t="s">
        <v>11</v>
      </c>
      <c r="D82" t="s">
        <v>9</v>
      </c>
      <c r="E82">
        <v>4</v>
      </c>
      <c r="F82" s="4">
        <v>48900</v>
      </c>
      <c r="G82" s="2">
        <v>31785</v>
      </c>
      <c r="H82" s="2">
        <f t="shared" si="2"/>
        <v>195600</v>
      </c>
      <c r="I82" s="2">
        <f t="shared" si="3"/>
        <v>68460</v>
      </c>
      <c r="P82">
        <v>4805000</v>
      </c>
    </row>
    <row r="83" spans="1:16" x14ac:dyDescent="0.3">
      <c r="A83" s="1">
        <v>45415</v>
      </c>
      <c r="B83" t="s">
        <v>15</v>
      </c>
      <c r="C83" t="s">
        <v>5</v>
      </c>
      <c r="D83" t="s">
        <v>17</v>
      </c>
      <c r="E83">
        <v>5</v>
      </c>
      <c r="F83" s="4">
        <v>14400</v>
      </c>
      <c r="G83" s="2">
        <v>9360</v>
      </c>
      <c r="H83" s="2">
        <f t="shared" si="2"/>
        <v>72000</v>
      </c>
      <c r="I83" s="2">
        <f t="shared" si="3"/>
        <v>25200</v>
      </c>
      <c r="P83">
        <v>958464000</v>
      </c>
    </row>
    <row r="84" spans="1:16" x14ac:dyDescent="0.3">
      <c r="A84" s="1">
        <v>45073</v>
      </c>
      <c r="B84" t="s">
        <v>19</v>
      </c>
      <c r="C84" t="s">
        <v>20</v>
      </c>
      <c r="D84" t="s">
        <v>17</v>
      </c>
      <c r="E84">
        <v>18</v>
      </c>
      <c r="F84" s="4">
        <v>18100</v>
      </c>
      <c r="G84" s="2">
        <v>11765</v>
      </c>
      <c r="H84" s="2">
        <f t="shared" si="2"/>
        <v>325800</v>
      </c>
      <c r="I84" s="2">
        <f t="shared" si="3"/>
        <v>114030</v>
      </c>
      <c r="P84">
        <v>3864343000</v>
      </c>
    </row>
    <row r="85" spans="1:16" x14ac:dyDescent="0.3">
      <c r="A85" s="1">
        <v>44931</v>
      </c>
      <c r="B85" t="s">
        <v>19</v>
      </c>
      <c r="C85" t="s">
        <v>5</v>
      </c>
      <c r="D85" t="s">
        <v>12</v>
      </c>
      <c r="E85">
        <v>12</v>
      </c>
      <c r="F85" s="4">
        <v>9600</v>
      </c>
      <c r="G85" s="2">
        <v>5280</v>
      </c>
      <c r="H85" s="2">
        <f t="shared" si="2"/>
        <v>115200</v>
      </c>
      <c r="I85" s="2">
        <f t="shared" si="3"/>
        <v>51840</v>
      </c>
      <c r="P85">
        <v>4291623000</v>
      </c>
    </row>
    <row r="86" spans="1:16" x14ac:dyDescent="0.3">
      <c r="A86" s="1">
        <v>45798</v>
      </c>
      <c r="B86" t="s">
        <v>18</v>
      </c>
      <c r="C86" t="s">
        <v>5</v>
      </c>
      <c r="D86" t="s">
        <v>14</v>
      </c>
      <c r="E86">
        <v>20</v>
      </c>
      <c r="F86" s="4">
        <v>4100</v>
      </c>
      <c r="G86" s="2">
        <v>2050</v>
      </c>
      <c r="H86" s="2">
        <f t="shared" si="2"/>
        <v>82000</v>
      </c>
      <c r="I86" s="2">
        <f t="shared" si="3"/>
        <v>41000</v>
      </c>
      <c r="P86">
        <v>558018500</v>
      </c>
    </row>
    <row r="87" spans="1:16" x14ac:dyDescent="0.3">
      <c r="A87" s="1">
        <v>45128</v>
      </c>
      <c r="B87" t="s">
        <v>7</v>
      </c>
      <c r="C87" t="s">
        <v>13</v>
      </c>
      <c r="D87" t="s">
        <v>21</v>
      </c>
      <c r="E87">
        <v>17</v>
      </c>
      <c r="F87" s="4">
        <v>31400</v>
      </c>
      <c r="G87" s="2">
        <v>18840</v>
      </c>
      <c r="H87" s="2">
        <f t="shared" si="2"/>
        <v>533800</v>
      </c>
      <c r="I87" s="2">
        <f t="shared" si="3"/>
        <v>213520</v>
      </c>
      <c r="P87">
        <v>10125000</v>
      </c>
    </row>
    <row r="88" spans="1:16" x14ac:dyDescent="0.3">
      <c r="A88" s="1">
        <v>45802</v>
      </c>
      <c r="B88" t="s">
        <v>19</v>
      </c>
      <c r="C88" t="s">
        <v>5</v>
      </c>
      <c r="D88" t="s">
        <v>6</v>
      </c>
      <c r="E88">
        <v>15</v>
      </c>
      <c r="F88" s="4">
        <v>65000</v>
      </c>
      <c r="G88" s="2">
        <v>45500</v>
      </c>
      <c r="H88" s="2">
        <f t="shared" si="2"/>
        <v>975000</v>
      </c>
      <c r="I88" s="2">
        <f t="shared" si="3"/>
        <v>292500</v>
      </c>
      <c r="P88">
        <v>55000000</v>
      </c>
    </row>
    <row r="89" spans="1:16" x14ac:dyDescent="0.3">
      <c r="A89" s="1">
        <v>45612</v>
      </c>
      <c r="B89" t="s">
        <v>19</v>
      </c>
      <c r="C89" t="s">
        <v>8</v>
      </c>
      <c r="D89" t="s">
        <v>21</v>
      </c>
      <c r="E89">
        <v>20</v>
      </c>
      <c r="F89" s="4">
        <v>33500</v>
      </c>
      <c r="G89" s="2">
        <v>20100</v>
      </c>
      <c r="H89" s="2">
        <f t="shared" si="2"/>
        <v>670000</v>
      </c>
      <c r="I89" s="2">
        <f t="shared" si="3"/>
        <v>268000</v>
      </c>
      <c r="P89">
        <v>15125000</v>
      </c>
    </row>
    <row r="90" spans="1:16" x14ac:dyDescent="0.3">
      <c r="A90" s="1">
        <v>45249</v>
      </c>
      <c r="B90" t="s">
        <v>15</v>
      </c>
      <c r="C90" t="s">
        <v>11</v>
      </c>
      <c r="D90" t="s">
        <v>6</v>
      </c>
      <c r="E90">
        <v>16</v>
      </c>
      <c r="F90" s="4">
        <v>76500</v>
      </c>
      <c r="G90" s="2">
        <v>53550</v>
      </c>
      <c r="H90" s="2">
        <f t="shared" si="2"/>
        <v>1224000</v>
      </c>
      <c r="I90" s="2">
        <f t="shared" si="3"/>
        <v>367200</v>
      </c>
      <c r="P90">
        <v>148206500</v>
      </c>
    </row>
    <row r="91" spans="1:16" x14ac:dyDescent="0.3">
      <c r="A91" s="1">
        <v>45669</v>
      </c>
      <c r="B91" t="s">
        <v>19</v>
      </c>
      <c r="C91" t="s">
        <v>13</v>
      </c>
      <c r="D91" t="s">
        <v>6</v>
      </c>
      <c r="E91">
        <v>15</v>
      </c>
      <c r="F91" s="4">
        <v>72400</v>
      </c>
      <c r="G91" s="2">
        <v>50680</v>
      </c>
      <c r="H91" s="2">
        <f t="shared" si="2"/>
        <v>1086000</v>
      </c>
      <c r="I91" s="2">
        <f t="shared" si="3"/>
        <v>325800</v>
      </c>
      <c r="P91">
        <v>1297350000</v>
      </c>
    </row>
    <row r="92" spans="1:16" x14ac:dyDescent="0.3">
      <c r="A92" s="1">
        <v>45014</v>
      </c>
      <c r="B92" t="s">
        <v>16</v>
      </c>
      <c r="C92" t="s">
        <v>11</v>
      </c>
      <c r="D92" t="s">
        <v>17</v>
      </c>
      <c r="E92">
        <v>19</v>
      </c>
      <c r="F92" s="4">
        <v>19600</v>
      </c>
      <c r="G92" s="2">
        <v>12740</v>
      </c>
      <c r="H92" s="2">
        <f t="shared" si="2"/>
        <v>372400</v>
      </c>
      <c r="I92" s="2">
        <f t="shared" si="3"/>
        <v>130340</v>
      </c>
      <c r="P92">
        <v>9680000</v>
      </c>
    </row>
    <row r="93" spans="1:16" x14ac:dyDescent="0.3">
      <c r="A93" s="1">
        <v>45717</v>
      </c>
      <c r="B93" t="s">
        <v>16</v>
      </c>
      <c r="C93" t="s">
        <v>11</v>
      </c>
      <c r="D93" t="s">
        <v>12</v>
      </c>
      <c r="E93">
        <v>8</v>
      </c>
      <c r="F93" s="4">
        <v>8200</v>
      </c>
      <c r="G93" s="2">
        <v>4510</v>
      </c>
      <c r="H93" s="2">
        <f t="shared" si="2"/>
        <v>65600</v>
      </c>
      <c r="I93" s="2">
        <f t="shared" si="3"/>
        <v>29520</v>
      </c>
      <c r="P93">
        <v>215306000</v>
      </c>
    </row>
    <row r="94" spans="1:16" x14ac:dyDescent="0.3">
      <c r="A94" s="1">
        <v>45217</v>
      </c>
      <c r="B94" t="s">
        <v>18</v>
      </c>
      <c r="C94" t="s">
        <v>11</v>
      </c>
      <c r="D94" t="s">
        <v>14</v>
      </c>
      <c r="E94">
        <v>12</v>
      </c>
      <c r="F94" s="4">
        <v>4500</v>
      </c>
      <c r="G94" s="2">
        <v>2250</v>
      </c>
      <c r="H94" s="2">
        <f t="shared" si="2"/>
        <v>54000</v>
      </c>
      <c r="I94" s="2">
        <f t="shared" si="3"/>
        <v>27000</v>
      </c>
      <c r="P94">
        <v>187850000</v>
      </c>
    </row>
    <row r="95" spans="1:16" x14ac:dyDescent="0.3">
      <c r="A95" s="1">
        <v>45760</v>
      </c>
      <c r="B95" t="s">
        <v>19</v>
      </c>
      <c r="C95" t="s">
        <v>5</v>
      </c>
      <c r="D95" t="s">
        <v>12</v>
      </c>
      <c r="E95">
        <v>10</v>
      </c>
      <c r="F95" s="4">
        <v>10500</v>
      </c>
      <c r="G95" s="2">
        <v>5775</v>
      </c>
      <c r="H95" s="2">
        <f t="shared" si="2"/>
        <v>105000</v>
      </c>
      <c r="I95" s="2">
        <f t="shared" si="3"/>
        <v>47250</v>
      </c>
      <c r="P95">
        <v>550854000</v>
      </c>
    </row>
    <row r="96" spans="1:16" x14ac:dyDescent="0.3">
      <c r="A96" s="1">
        <v>45790</v>
      </c>
      <c r="B96" t="s">
        <v>10</v>
      </c>
      <c r="C96" t="s">
        <v>13</v>
      </c>
      <c r="D96" t="s">
        <v>6</v>
      </c>
      <c r="E96">
        <v>7</v>
      </c>
      <c r="F96" s="4">
        <v>58500</v>
      </c>
      <c r="G96" s="2">
        <v>40950</v>
      </c>
      <c r="H96" s="2">
        <f t="shared" si="2"/>
        <v>409500</v>
      </c>
      <c r="I96" s="2">
        <f t="shared" si="3"/>
        <v>122850</v>
      </c>
      <c r="P96">
        <v>714150000</v>
      </c>
    </row>
    <row r="97" spans="1:16" x14ac:dyDescent="0.3">
      <c r="A97" s="1">
        <v>45403</v>
      </c>
      <c r="B97" t="s">
        <v>7</v>
      </c>
      <c r="C97" t="s">
        <v>20</v>
      </c>
      <c r="D97" t="s">
        <v>22</v>
      </c>
      <c r="E97">
        <v>17</v>
      </c>
      <c r="F97" s="4">
        <v>21300</v>
      </c>
      <c r="G97" s="2">
        <v>12780</v>
      </c>
      <c r="H97" s="2">
        <f t="shared" si="2"/>
        <v>362100</v>
      </c>
      <c r="I97" s="2">
        <f t="shared" si="3"/>
        <v>144840</v>
      </c>
      <c r="P97">
        <v>72737500</v>
      </c>
    </row>
    <row r="98" spans="1:16" x14ac:dyDescent="0.3">
      <c r="A98" s="1">
        <v>45688</v>
      </c>
      <c r="B98" t="s">
        <v>7</v>
      </c>
      <c r="C98" t="s">
        <v>13</v>
      </c>
      <c r="D98" t="s">
        <v>17</v>
      </c>
      <c r="E98">
        <v>1</v>
      </c>
      <c r="F98" s="4">
        <v>15300</v>
      </c>
      <c r="G98" s="2">
        <v>9945</v>
      </c>
      <c r="H98" s="2">
        <f t="shared" si="2"/>
        <v>15300</v>
      </c>
      <c r="I98" s="2">
        <f t="shared" si="3"/>
        <v>5355</v>
      </c>
      <c r="P98">
        <v>150176000</v>
      </c>
    </row>
    <row r="99" spans="1:16" x14ac:dyDescent="0.3">
      <c r="A99" s="1">
        <v>45730</v>
      </c>
      <c r="B99" t="s">
        <v>19</v>
      </c>
      <c r="C99" t="s">
        <v>13</v>
      </c>
      <c r="D99" t="s">
        <v>14</v>
      </c>
      <c r="E99">
        <v>10</v>
      </c>
      <c r="F99" s="4">
        <v>1500</v>
      </c>
      <c r="G99" s="2">
        <v>750</v>
      </c>
      <c r="H99" s="2">
        <f t="shared" si="2"/>
        <v>15000</v>
      </c>
      <c r="I99" s="2">
        <f t="shared" si="3"/>
        <v>7500</v>
      </c>
      <c r="P99">
        <v>470400000</v>
      </c>
    </row>
    <row r="100" spans="1:16" x14ac:dyDescent="0.3">
      <c r="A100" s="1">
        <v>45438</v>
      </c>
      <c r="B100" t="s">
        <v>10</v>
      </c>
      <c r="C100" t="s">
        <v>20</v>
      </c>
      <c r="D100" t="s">
        <v>6</v>
      </c>
      <c r="E100">
        <v>20</v>
      </c>
      <c r="F100" s="4">
        <v>85500</v>
      </c>
      <c r="G100" s="2">
        <v>59850</v>
      </c>
      <c r="H100" s="2">
        <f t="shared" si="2"/>
        <v>1710000</v>
      </c>
      <c r="I100" s="2">
        <f t="shared" si="3"/>
        <v>513000</v>
      </c>
      <c r="P100">
        <v>61798000</v>
      </c>
    </row>
    <row r="101" spans="1:16" x14ac:dyDescent="0.3">
      <c r="P101">
        <v>1114074000</v>
      </c>
    </row>
    <row r="102" spans="1:16" x14ac:dyDescent="0.3">
      <c r="P102">
        <v>15680000</v>
      </c>
    </row>
    <row r="103" spans="1:16" x14ac:dyDescent="0.3">
      <c r="P103">
        <v>851786000</v>
      </c>
    </row>
    <row r="104" spans="1:16" x14ac:dyDescent="0.3">
      <c r="P104">
        <v>225816000</v>
      </c>
    </row>
    <row r="105" spans="1:16" x14ac:dyDescent="0.3">
      <c r="P105">
        <v>1554286500</v>
      </c>
    </row>
    <row r="106" spans="1:16" x14ac:dyDescent="0.3">
      <c r="P106">
        <v>134784000</v>
      </c>
    </row>
    <row r="107" spans="1:16" x14ac:dyDescent="0.3">
      <c r="P107">
        <v>212946500</v>
      </c>
    </row>
    <row r="108" spans="1:16" x14ac:dyDescent="0.3">
      <c r="P108">
        <v>50688000</v>
      </c>
    </row>
    <row r="109" spans="1:16" x14ac:dyDescent="0.3">
      <c r="P109">
        <v>8405000</v>
      </c>
    </row>
    <row r="110" spans="1:16" x14ac:dyDescent="0.3">
      <c r="P110">
        <v>591576000</v>
      </c>
    </row>
    <row r="111" spans="1:16" x14ac:dyDescent="0.3">
      <c r="P111">
        <v>2957500000</v>
      </c>
    </row>
    <row r="112" spans="1:16" x14ac:dyDescent="0.3">
      <c r="P112">
        <v>673350000</v>
      </c>
    </row>
    <row r="113" spans="16:16" x14ac:dyDescent="0.3">
      <c r="P113">
        <v>4096575000</v>
      </c>
    </row>
    <row r="114" spans="16:16" x14ac:dyDescent="0.3">
      <c r="P114">
        <v>3669232000</v>
      </c>
    </row>
    <row r="115" spans="16:16" x14ac:dyDescent="0.3">
      <c r="P115">
        <v>249704000</v>
      </c>
    </row>
    <row r="116" spans="16:16" x14ac:dyDescent="0.3">
      <c r="P116">
        <v>36982000</v>
      </c>
    </row>
    <row r="117" spans="16:16" x14ac:dyDescent="0.3">
      <c r="P117">
        <v>10125000</v>
      </c>
    </row>
    <row r="118" spans="16:16" x14ac:dyDescent="0.3">
      <c r="P118">
        <v>60637500</v>
      </c>
    </row>
    <row r="119" spans="16:16" x14ac:dyDescent="0.3">
      <c r="P119">
        <v>2395575000</v>
      </c>
    </row>
    <row r="120" spans="16:16" x14ac:dyDescent="0.3">
      <c r="P120">
        <v>272214000</v>
      </c>
    </row>
    <row r="121" spans="16:16" x14ac:dyDescent="0.3">
      <c r="P121">
        <v>152158500</v>
      </c>
    </row>
    <row r="122" spans="16:16" x14ac:dyDescent="0.3">
      <c r="P122">
        <v>1125000</v>
      </c>
    </row>
    <row r="123" spans="16:16" x14ac:dyDescent="0.3">
      <c r="P123">
        <v>5117175000</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BEC63-EE5B-4DFB-B571-80C2C24D6FC6}">
  <dimension ref="A1:O100"/>
  <sheetViews>
    <sheetView topLeftCell="B1" zoomScale="81" zoomScaleNormal="100" workbookViewId="0">
      <selection activeCell="L1" sqref="L1"/>
    </sheetView>
  </sheetViews>
  <sheetFormatPr defaultRowHeight="14" x14ac:dyDescent="0.3"/>
  <cols>
    <col min="1" max="1" width="10.33203125" customWidth="1"/>
    <col min="2" max="2" width="12.75" customWidth="1"/>
    <col min="3" max="3" width="8.4140625" customWidth="1"/>
    <col min="4" max="4" width="9.4140625" customWidth="1"/>
    <col min="5" max="5" width="11.5" customWidth="1"/>
    <col min="6" max="6" width="10.4140625" customWidth="1"/>
    <col min="7" max="7" width="14.1640625" customWidth="1"/>
    <col min="8" max="8" width="13.1640625" customWidth="1"/>
    <col min="9" max="9" width="11.9140625" customWidth="1"/>
    <col min="13" max="13" width="14.58203125" customWidth="1"/>
  </cols>
  <sheetData>
    <row r="1" spans="1:15" x14ac:dyDescent="0.3">
      <c r="A1" s="12" t="s">
        <v>0</v>
      </c>
      <c r="B1" s="10" t="s">
        <v>4</v>
      </c>
      <c r="C1" s="10" t="s">
        <v>1</v>
      </c>
      <c r="D1" s="10" t="s">
        <v>2</v>
      </c>
      <c r="E1" s="10" t="s">
        <v>28</v>
      </c>
      <c r="F1" s="10" t="s">
        <v>3</v>
      </c>
      <c r="G1" s="11" t="s">
        <v>29</v>
      </c>
      <c r="H1" s="10" t="s">
        <v>30</v>
      </c>
      <c r="I1" s="10" t="s">
        <v>27</v>
      </c>
      <c r="M1" s="3" t="s">
        <v>23</v>
      </c>
    </row>
    <row r="2" spans="1:15" x14ac:dyDescent="0.3">
      <c r="A2" s="1">
        <v>44980</v>
      </c>
      <c r="B2" t="s">
        <v>7</v>
      </c>
      <c r="C2" t="s">
        <v>5</v>
      </c>
      <c r="D2" t="s">
        <v>6</v>
      </c>
      <c r="E2">
        <v>24</v>
      </c>
      <c r="F2" s="4">
        <v>100100</v>
      </c>
      <c r="G2" s="5">
        <v>70070</v>
      </c>
      <c r="H2" s="2">
        <f>E2*F2</f>
        <v>2402400</v>
      </c>
      <c r="I2" s="2">
        <f>H2-(G2*E2)</f>
        <v>720720</v>
      </c>
      <c r="M2" s="2">
        <f>SUM(H2:H100)</f>
        <v>30246800</v>
      </c>
    </row>
    <row r="3" spans="1:15" x14ac:dyDescent="0.3">
      <c r="A3" s="1">
        <v>45645</v>
      </c>
      <c r="B3" t="s">
        <v>10</v>
      </c>
      <c r="C3" s="19" t="s">
        <v>8</v>
      </c>
      <c r="D3" t="s">
        <v>9</v>
      </c>
      <c r="E3">
        <v>75</v>
      </c>
      <c r="F3" s="4">
        <v>15500</v>
      </c>
      <c r="G3" s="2">
        <v>10075</v>
      </c>
      <c r="H3" s="2">
        <f t="shared" ref="H3:H66" si="0">E3*F3</f>
        <v>1162500</v>
      </c>
      <c r="I3" s="2">
        <f t="shared" ref="I3:I66" si="1">H3-(G3*E3)</f>
        <v>406875</v>
      </c>
      <c r="M3" s="6" t="s">
        <v>26</v>
      </c>
    </row>
    <row r="4" spans="1:15" x14ac:dyDescent="0.3">
      <c r="A4" s="1">
        <v>45056</v>
      </c>
      <c r="B4" t="s">
        <v>10</v>
      </c>
      <c r="C4" t="s">
        <v>11</v>
      </c>
      <c r="D4" t="s">
        <v>12</v>
      </c>
      <c r="E4">
        <v>14</v>
      </c>
      <c r="F4" s="4">
        <v>3500</v>
      </c>
      <c r="G4" s="2">
        <v>1925</v>
      </c>
      <c r="H4" s="2">
        <f t="shared" si="0"/>
        <v>49000</v>
      </c>
      <c r="I4" s="2">
        <f t="shared" si="1"/>
        <v>22050</v>
      </c>
      <c r="M4">
        <f>SUM(E2:E100)</f>
        <v>1133</v>
      </c>
    </row>
    <row r="5" spans="1:15" x14ac:dyDescent="0.3">
      <c r="A5" s="1">
        <v>45714</v>
      </c>
      <c r="B5" t="s">
        <v>15</v>
      </c>
      <c r="C5" s="19" t="s">
        <v>8</v>
      </c>
      <c r="D5" t="s">
        <v>14</v>
      </c>
      <c r="E5">
        <v>18</v>
      </c>
      <c r="F5" s="4">
        <v>600</v>
      </c>
      <c r="G5" s="2">
        <v>300</v>
      </c>
      <c r="H5" s="2">
        <f t="shared" si="0"/>
        <v>10800</v>
      </c>
      <c r="I5" s="2">
        <f t="shared" si="1"/>
        <v>5400</v>
      </c>
      <c r="M5" s="6" t="s">
        <v>24</v>
      </c>
    </row>
    <row r="6" spans="1:15" x14ac:dyDescent="0.3">
      <c r="A6" s="1">
        <v>45101</v>
      </c>
      <c r="B6" t="s">
        <v>16</v>
      </c>
      <c r="C6" t="s">
        <v>5</v>
      </c>
      <c r="D6" t="s">
        <v>12</v>
      </c>
      <c r="E6">
        <v>18</v>
      </c>
      <c r="F6" s="4">
        <v>3500</v>
      </c>
      <c r="G6" s="2">
        <v>1925</v>
      </c>
      <c r="H6" s="2">
        <f t="shared" si="0"/>
        <v>63000</v>
      </c>
      <c r="I6" s="2">
        <f t="shared" si="1"/>
        <v>28350</v>
      </c>
      <c r="M6" s="2">
        <f>SUM(I2:I100)</f>
        <v>10402675</v>
      </c>
    </row>
    <row r="7" spans="1:15" x14ac:dyDescent="0.3">
      <c r="A7" s="1">
        <v>45342</v>
      </c>
      <c r="B7" t="s">
        <v>18</v>
      </c>
      <c r="C7" t="s">
        <v>20</v>
      </c>
      <c r="D7" t="s">
        <v>17</v>
      </c>
      <c r="E7">
        <v>6</v>
      </c>
      <c r="F7" s="4">
        <v>8000</v>
      </c>
      <c r="G7" s="2">
        <v>5200</v>
      </c>
      <c r="H7" s="2">
        <f t="shared" si="0"/>
        <v>48000</v>
      </c>
      <c r="I7" s="2">
        <f t="shared" si="1"/>
        <v>16800</v>
      </c>
      <c r="M7" s="6" t="s">
        <v>25</v>
      </c>
    </row>
    <row r="8" spans="1:15" x14ac:dyDescent="0.3">
      <c r="A8" s="1">
        <v>44937</v>
      </c>
      <c r="B8" t="s">
        <v>10</v>
      </c>
      <c r="C8" s="19" t="s">
        <v>8</v>
      </c>
      <c r="D8" t="s">
        <v>14</v>
      </c>
      <c r="E8">
        <v>7</v>
      </c>
      <c r="F8" s="4">
        <v>500</v>
      </c>
      <c r="G8" s="2">
        <v>250</v>
      </c>
      <c r="H8" s="2">
        <f t="shared" si="0"/>
        <v>3500</v>
      </c>
      <c r="I8" s="2">
        <f t="shared" si="1"/>
        <v>1750</v>
      </c>
      <c r="M8" s="2">
        <f>AVERAGE(H2:H100)</f>
        <v>305523.23232323234</v>
      </c>
    </row>
    <row r="9" spans="1:15" x14ac:dyDescent="0.3">
      <c r="A9" s="1">
        <v>44935</v>
      </c>
      <c r="B9" t="s">
        <v>16</v>
      </c>
      <c r="C9" t="s">
        <v>11</v>
      </c>
      <c r="D9" t="s">
        <v>14</v>
      </c>
      <c r="E9">
        <v>3</v>
      </c>
      <c r="F9" s="4">
        <v>300</v>
      </c>
      <c r="G9" s="2">
        <v>150</v>
      </c>
      <c r="H9" s="2">
        <f t="shared" si="0"/>
        <v>900</v>
      </c>
      <c r="I9" s="2">
        <f t="shared" si="1"/>
        <v>450</v>
      </c>
    </row>
    <row r="10" spans="1:15" x14ac:dyDescent="0.3">
      <c r="A10" s="1">
        <v>45581</v>
      </c>
      <c r="B10" t="s">
        <v>19</v>
      </c>
      <c r="C10" s="19" t="s">
        <v>8</v>
      </c>
      <c r="D10" t="s">
        <v>14</v>
      </c>
      <c r="E10">
        <v>3</v>
      </c>
      <c r="F10" s="4">
        <v>400</v>
      </c>
      <c r="G10" s="2">
        <v>200</v>
      </c>
      <c r="H10" s="2">
        <f t="shared" si="0"/>
        <v>1200</v>
      </c>
      <c r="I10" s="2">
        <f t="shared" si="1"/>
        <v>600</v>
      </c>
    </row>
    <row r="11" spans="1:15" x14ac:dyDescent="0.3">
      <c r="A11" s="1">
        <v>45721</v>
      </c>
      <c r="B11" t="s">
        <v>15</v>
      </c>
      <c r="C11" t="s">
        <v>20</v>
      </c>
      <c r="D11" t="s">
        <v>12</v>
      </c>
      <c r="E11">
        <v>5</v>
      </c>
      <c r="F11" s="4">
        <v>2300</v>
      </c>
      <c r="G11" s="2">
        <v>1265</v>
      </c>
      <c r="H11" s="2">
        <f t="shared" si="0"/>
        <v>11500</v>
      </c>
      <c r="I11" s="2">
        <f t="shared" si="1"/>
        <v>5175</v>
      </c>
    </row>
    <row r="12" spans="1:15" x14ac:dyDescent="0.3">
      <c r="A12" s="1">
        <v>45392</v>
      </c>
      <c r="B12" t="s">
        <v>7</v>
      </c>
      <c r="C12" t="s">
        <v>11</v>
      </c>
      <c r="D12" t="s">
        <v>12</v>
      </c>
      <c r="E12">
        <v>15</v>
      </c>
      <c r="F12" s="4">
        <v>500</v>
      </c>
      <c r="G12" s="2">
        <v>275</v>
      </c>
      <c r="H12" s="2">
        <f t="shared" si="0"/>
        <v>7500</v>
      </c>
      <c r="I12" s="2">
        <f t="shared" si="1"/>
        <v>3375</v>
      </c>
    </row>
    <row r="13" spans="1:15" x14ac:dyDescent="0.3">
      <c r="A13" s="1">
        <v>45485</v>
      </c>
      <c r="B13" t="s">
        <v>7</v>
      </c>
      <c r="C13" t="s">
        <v>5</v>
      </c>
      <c r="D13" t="s">
        <v>9</v>
      </c>
      <c r="E13">
        <v>19</v>
      </c>
      <c r="F13" s="4">
        <v>20000</v>
      </c>
      <c r="G13" s="2">
        <v>13000</v>
      </c>
      <c r="H13" s="2">
        <f t="shared" si="0"/>
        <v>380000</v>
      </c>
      <c r="I13" s="2">
        <f t="shared" si="1"/>
        <v>133000</v>
      </c>
    </row>
    <row r="14" spans="1:15" x14ac:dyDescent="0.3">
      <c r="A14" s="1">
        <v>45128</v>
      </c>
      <c r="B14" t="s">
        <v>18</v>
      </c>
      <c r="C14" t="s">
        <v>5</v>
      </c>
      <c r="D14" t="s">
        <v>9</v>
      </c>
      <c r="E14">
        <v>2</v>
      </c>
      <c r="F14" s="4">
        <v>12000</v>
      </c>
      <c r="G14" s="2">
        <v>7800</v>
      </c>
      <c r="H14" s="2">
        <f t="shared" si="0"/>
        <v>24000</v>
      </c>
      <c r="I14" s="2">
        <f t="shared" si="1"/>
        <v>8400</v>
      </c>
      <c r="O14" s="10" t="s">
        <v>51</v>
      </c>
    </row>
    <row r="15" spans="1:15" x14ac:dyDescent="0.3">
      <c r="A15" s="1">
        <v>45675</v>
      </c>
      <c r="B15" t="s">
        <v>16</v>
      </c>
      <c r="C15" t="s">
        <v>20</v>
      </c>
      <c r="D15" t="s">
        <v>21</v>
      </c>
      <c r="E15">
        <v>1</v>
      </c>
      <c r="F15" s="4">
        <v>45600</v>
      </c>
      <c r="G15" s="2">
        <v>27360</v>
      </c>
      <c r="H15" s="2">
        <f t="shared" si="0"/>
        <v>45600</v>
      </c>
      <c r="I15" s="2">
        <f t="shared" si="1"/>
        <v>18240</v>
      </c>
    </row>
    <row r="16" spans="1:15" x14ac:dyDescent="0.3">
      <c r="A16" s="1">
        <v>45634</v>
      </c>
      <c r="B16" t="s">
        <v>18</v>
      </c>
      <c r="C16" t="s">
        <v>11</v>
      </c>
      <c r="D16" t="s">
        <v>12</v>
      </c>
      <c r="E16">
        <v>15</v>
      </c>
      <c r="F16" s="4">
        <v>1200</v>
      </c>
      <c r="G16" s="2">
        <v>660</v>
      </c>
      <c r="H16" s="2">
        <f t="shared" si="0"/>
        <v>18000</v>
      </c>
      <c r="I16" s="2">
        <f t="shared" si="1"/>
        <v>8100</v>
      </c>
    </row>
    <row r="17" spans="1:9" x14ac:dyDescent="0.3">
      <c r="A17" s="1">
        <v>45788</v>
      </c>
      <c r="B17" t="s">
        <v>7</v>
      </c>
      <c r="C17" t="s">
        <v>20</v>
      </c>
      <c r="D17" t="s">
        <v>14</v>
      </c>
      <c r="E17">
        <v>17</v>
      </c>
      <c r="F17" s="4">
        <v>600</v>
      </c>
      <c r="G17" s="2">
        <v>300</v>
      </c>
      <c r="H17" s="2">
        <f t="shared" si="0"/>
        <v>10200</v>
      </c>
      <c r="I17" s="2">
        <f t="shared" si="1"/>
        <v>5100</v>
      </c>
    </row>
    <row r="18" spans="1:9" x14ac:dyDescent="0.3">
      <c r="A18" s="1">
        <v>44983</v>
      </c>
      <c r="B18" t="s">
        <v>19</v>
      </c>
      <c r="C18" t="s">
        <v>20</v>
      </c>
      <c r="D18" t="s">
        <v>6</v>
      </c>
      <c r="E18">
        <v>19</v>
      </c>
      <c r="F18" s="4">
        <v>55200</v>
      </c>
      <c r="G18" s="2">
        <v>38640</v>
      </c>
      <c r="H18" s="2">
        <f t="shared" si="0"/>
        <v>1048800</v>
      </c>
      <c r="I18" s="2">
        <f t="shared" si="1"/>
        <v>314640</v>
      </c>
    </row>
    <row r="19" spans="1:9" x14ac:dyDescent="0.3">
      <c r="A19" s="1">
        <v>45440</v>
      </c>
      <c r="B19" t="s">
        <v>18</v>
      </c>
      <c r="C19" t="s">
        <v>11</v>
      </c>
      <c r="D19" t="s">
        <v>12</v>
      </c>
      <c r="E19">
        <v>11</v>
      </c>
      <c r="F19" s="4">
        <v>800</v>
      </c>
      <c r="G19" s="2">
        <v>440</v>
      </c>
      <c r="H19" s="2">
        <f t="shared" si="0"/>
        <v>8800</v>
      </c>
      <c r="I19" s="2">
        <f t="shared" si="1"/>
        <v>3960</v>
      </c>
    </row>
    <row r="20" spans="1:9" x14ac:dyDescent="0.3">
      <c r="A20" s="1">
        <v>45260</v>
      </c>
      <c r="B20" t="s">
        <v>16</v>
      </c>
      <c r="C20" t="s">
        <v>5</v>
      </c>
      <c r="D20" t="s">
        <v>9</v>
      </c>
      <c r="E20">
        <v>20</v>
      </c>
      <c r="F20" s="4">
        <v>11500</v>
      </c>
      <c r="G20" s="2">
        <v>7475</v>
      </c>
      <c r="H20" s="2">
        <f t="shared" si="0"/>
        <v>230000</v>
      </c>
      <c r="I20" s="2">
        <f t="shared" si="1"/>
        <v>80500</v>
      </c>
    </row>
    <row r="21" spans="1:9" x14ac:dyDescent="0.3">
      <c r="A21" s="1">
        <v>45099</v>
      </c>
      <c r="B21" t="s">
        <v>16</v>
      </c>
      <c r="C21" t="s">
        <v>20</v>
      </c>
      <c r="D21" t="s">
        <v>12</v>
      </c>
      <c r="E21">
        <v>14</v>
      </c>
      <c r="F21" s="4">
        <v>1200</v>
      </c>
      <c r="G21" s="2">
        <v>660</v>
      </c>
      <c r="H21" s="2">
        <f t="shared" si="0"/>
        <v>16800</v>
      </c>
      <c r="I21" s="2">
        <f t="shared" si="1"/>
        <v>7560</v>
      </c>
    </row>
    <row r="22" spans="1:9" x14ac:dyDescent="0.3">
      <c r="A22" s="1">
        <v>45813</v>
      </c>
      <c r="B22" t="s">
        <v>18</v>
      </c>
      <c r="C22" t="s">
        <v>20</v>
      </c>
      <c r="D22" t="s">
        <v>9</v>
      </c>
      <c r="E22">
        <v>10</v>
      </c>
      <c r="F22" s="4">
        <v>32300</v>
      </c>
      <c r="G22" s="2">
        <v>20995</v>
      </c>
      <c r="H22" s="2">
        <f t="shared" si="0"/>
        <v>323000</v>
      </c>
      <c r="I22" s="2">
        <f t="shared" si="1"/>
        <v>113050</v>
      </c>
    </row>
    <row r="23" spans="1:9" x14ac:dyDescent="0.3">
      <c r="A23" s="1">
        <v>44988</v>
      </c>
      <c r="B23" t="s">
        <v>19</v>
      </c>
      <c r="C23" s="19" t="s">
        <v>8</v>
      </c>
      <c r="D23" t="s">
        <v>14</v>
      </c>
      <c r="E23">
        <v>14</v>
      </c>
      <c r="F23" s="4">
        <v>4300</v>
      </c>
      <c r="G23" s="2">
        <v>2150</v>
      </c>
      <c r="H23" s="2">
        <f t="shared" si="0"/>
        <v>60200</v>
      </c>
      <c r="I23" s="2">
        <f t="shared" si="1"/>
        <v>30100</v>
      </c>
    </row>
    <row r="24" spans="1:9" x14ac:dyDescent="0.3">
      <c r="A24" s="1">
        <v>45340</v>
      </c>
      <c r="B24" t="s">
        <v>16</v>
      </c>
      <c r="C24" t="s">
        <v>11</v>
      </c>
      <c r="D24" t="s">
        <v>6</v>
      </c>
      <c r="E24">
        <v>14</v>
      </c>
      <c r="F24" s="4">
        <v>65400</v>
      </c>
      <c r="G24" s="2">
        <v>45780</v>
      </c>
      <c r="H24" s="2">
        <f t="shared" si="0"/>
        <v>915600</v>
      </c>
      <c r="I24" s="2">
        <f t="shared" si="1"/>
        <v>274680</v>
      </c>
    </row>
    <row r="25" spans="1:9" x14ac:dyDescent="0.3">
      <c r="A25" s="1">
        <v>45144</v>
      </c>
      <c r="B25" t="s">
        <v>18</v>
      </c>
      <c r="C25" t="s">
        <v>20</v>
      </c>
      <c r="D25" t="s">
        <v>6</v>
      </c>
      <c r="E25">
        <v>12</v>
      </c>
      <c r="F25" s="4">
        <v>72500</v>
      </c>
      <c r="G25" s="2">
        <v>50750</v>
      </c>
      <c r="H25" s="2">
        <f t="shared" si="0"/>
        <v>870000</v>
      </c>
      <c r="I25" s="2">
        <f t="shared" si="1"/>
        <v>261000</v>
      </c>
    </row>
    <row r="26" spans="1:9" x14ac:dyDescent="0.3">
      <c r="A26" s="1">
        <v>45435</v>
      </c>
      <c r="B26" t="s">
        <v>7</v>
      </c>
      <c r="C26" t="s">
        <v>11</v>
      </c>
      <c r="D26" t="s">
        <v>12</v>
      </c>
      <c r="E26">
        <v>5</v>
      </c>
      <c r="F26" s="4">
        <v>8300</v>
      </c>
      <c r="G26" s="2">
        <v>4565</v>
      </c>
      <c r="H26" s="2">
        <f t="shared" si="0"/>
        <v>41500</v>
      </c>
      <c r="I26" s="2">
        <f t="shared" si="1"/>
        <v>18675</v>
      </c>
    </row>
    <row r="27" spans="1:9" x14ac:dyDescent="0.3">
      <c r="A27" s="1">
        <v>45222</v>
      </c>
      <c r="B27" t="s">
        <v>18</v>
      </c>
      <c r="C27" t="s">
        <v>5</v>
      </c>
      <c r="D27" t="s">
        <v>9</v>
      </c>
      <c r="E27">
        <v>13</v>
      </c>
      <c r="F27" s="4">
        <v>42600</v>
      </c>
      <c r="G27" s="2">
        <v>27690</v>
      </c>
      <c r="H27" s="2">
        <f t="shared" si="0"/>
        <v>553800</v>
      </c>
      <c r="I27" s="2">
        <f t="shared" si="1"/>
        <v>193830</v>
      </c>
    </row>
    <row r="28" spans="1:9" x14ac:dyDescent="0.3">
      <c r="A28" s="1">
        <v>45824</v>
      </c>
      <c r="B28" t="s">
        <v>15</v>
      </c>
      <c r="C28" t="s">
        <v>20</v>
      </c>
      <c r="D28" t="s">
        <v>9</v>
      </c>
      <c r="E28">
        <v>1</v>
      </c>
      <c r="F28" s="4">
        <v>18100</v>
      </c>
      <c r="G28" s="2">
        <v>11765</v>
      </c>
      <c r="H28" s="2">
        <f t="shared" si="0"/>
        <v>18100</v>
      </c>
      <c r="I28" s="2">
        <f t="shared" si="1"/>
        <v>6335</v>
      </c>
    </row>
    <row r="29" spans="1:9" x14ac:dyDescent="0.3">
      <c r="A29" s="1">
        <v>44988</v>
      </c>
      <c r="B29" t="s">
        <v>18</v>
      </c>
      <c r="C29" t="s">
        <v>11</v>
      </c>
      <c r="D29" t="s">
        <v>9</v>
      </c>
      <c r="E29">
        <v>4</v>
      </c>
      <c r="F29" s="4">
        <v>27300</v>
      </c>
      <c r="G29" s="2">
        <v>17745</v>
      </c>
      <c r="H29" s="2">
        <f t="shared" si="0"/>
        <v>109200</v>
      </c>
      <c r="I29" s="2">
        <f t="shared" si="1"/>
        <v>38220</v>
      </c>
    </row>
    <row r="30" spans="1:9" x14ac:dyDescent="0.3">
      <c r="A30" s="1">
        <v>45614</v>
      </c>
      <c r="B30" t="s">
        <v>16</v>
      </c>
      <c r="C30" s="19" t="s">
        <v>8</v>
      </c>
      <c r="D30" t="s">
        <v>6</v>
      </c>
      <c r="E30">
        <v>1</v>
      </c>
      <c r="F30" s="4">
        <v>54200</v>
      </c>
      <c r="G30" s="2">
        <v>37940</v>
      </c>
      <c r="H30" s="2">
        <f t="shared" si="0"/>
        <v>54200</v>
      </c>
      <c r="I30" s="2">
        <f t="shared" si="1"/>
        <v>16260</v>
      </c>
    </row>
    <row r="31" spans="1:9" x14ac:dyDescent="0.3">
      <c r="A31" s="1">
        <v>45055</v>
      </c>
      <c r="B31" t="s">
        <v>16</v>
      </c>
      <c r="C31" t="s">
        <v>11</v>
      </c>
      <c r="D31" t="s">
        <v>21</v>
      </c>
      <c r="E31">
        <v>1</v>
      </c>
      <c r="F31" s="4">
        <v>24500</v>
      </c>
      <c r="G31" s="2">
        <v>14700</v>
      </c>
      <c r="H31" s="2">
        <f t="shared" si="0"/>
        <v>24500</v>
      </c>
      <c r="I31" s="2">
        <f t="shared" si="1"/>
        <v>9800</v>
      </c>
    </row>
    <row r="32" spans="1:9" x14ac:dyDescent="0.3">
      <c r="A32" s="1">
        <v>45633</v>
      </c>
      <c r="B32" t="s">
        <v>15</v>
      </c>
      <c r="C32" t="s">
        <v>11</v>
      </c>
      <c r="D32" t="s">
        <v>21</v>
      </c>
      <c r="E32">
        <v>12</v>
      </c>
      <c r="F32" s="4">
        <v>28300</v>
      </c>
      <c r="G32" s="2">
        <v>16980</v>
      </c>
      <c r="H32" s="2">
        <f t="shared" si="0"/>
        <v>339600</v>
      </c>
      <c r="I32" s="2">
        <f t="shared" si="1"/>
        <v>135840</v>
      </c>
    </row>
    <row r="33" spans="1:9" x14ac:dyDescent="0.3">
      <c r="A33" s="1">
        <v>45335</v>
      </c>
      <c r="B33" t="s">
        <v>15</v>
      </c>
      <c r="C33" t="s">
        <v>11</v>
      </c>
      <c r="D33" t="s">
        <v>9</v>
      </c>
      <c r="E33">
        <v>7</v>
      </c>
      <c r="F33" s="4">
        <v>31400</v>
      </c>
      <c r="G33" s="2">
        <v>20410</v>
      </c>
      <c r="H33" s="2">
        <f t="shared" si="0"/>
        <v>219800</v>
      </c>
      <c r="I33" s="2">
        <f t="shared" si="1"/>
        <v>76930</v>
      </c>
    </row>
    <row r="34" spans="1:9" x14ac:dyDescent="0.3">
      <c r="A34" s="1">
        <v>45725</v>
      </c>
      <c r="B34" t="s">
        <v>16</v>
      </c>
      <c r="C34" s="19" t="s">
        <v>8</v>
      </c>
      <c r="D34" t="s">
        <v>12</v>
      </c>
      <c r="E34">
        <v>6</v>
      </c>
      <c r="F34" s="4">
        <v>7100</v>
      </c>
      <c r="G34" s="2">
        <v>3905</v>
      </c>
      <c r="H34" s="2">
        <f t="shared" si="0"/>
        <v>42600</v>
      </c>
      <c r="I34" s="2">
        <f t="shared" si="1"/>
        <v>19170</v>
      </c>
    </row>
    <row r="35" spans="1:9" x14ac:dyDescent="0.3">
      <c r="A35" s="1">
        <v>45021</v>
      </c>
      <c r="B35" t="s">
        <v>10</v>
      </c>
      <c r="C35" t="s">
        <v>5</v>
      </c>
      <c r="D35" t="s">
        <v>12</v>
      </c>
      <c r="E35">
        <v>17</v>
      </c>
      <c r="F35" s="4">
        <v>11500</v>
      </c>
      <c r="G35" s="2">
        <v>6325</v>
      </c>
      <c r="H35" s="2">
        <f t="shared" si="0"/>
        <v>195500</v>
      </c>
      <c r="I35" s="2">
        <f t="shared" si="1"/>
        <v>87975</v>
      </c>
    </row>
    <row r="36" spans="1:9" x14ac:dyDescent="0.3">
      <c r="A36" s="1">
        <v>45785</v>
      </c>
      <c r="B36" t="s">
        <v>18</v>
      </c>
      <c r="C36" t="s">
        <v>11</v>
      </c>
      <c r="D36" t="s">
        <v>17</v>
      </c>
      <c r="E36">
        <v>4</v>
      </c>
      <c r="F36" s="4">
        <v>15600</v>
      </c>
      <c r="G36" s="2">
        <v>10140</v>
      </c>
      <c r="H36" s="2">
        <f t="shared" si="0"/>
        <v>62400</v>
      </c>
      <c r="I36" s="2">
        <f t="shared" si="1"/>
        <v>21840</v>
      </c>
    </row>
    <row r="37" spans="1:9" x14ac:dyDescent="0.3">
      <c r="A37" s="1">
        <v>45172</v>
      </c>
      <c r="B37" t="s">
        <v>10</v>
      </c>
      <c r="C37" t="s">
        <v>11</v>
      </c>
      <c r="D37" t="s">
        <v>21</v>
      </c>
      <c r="E37">
        <v>14</v>
      </c>
      <c r="F37" s="4">
        <v>22100</v>
      </c>
      <c r="G37" s="2">
        <v>13260</v>
      </c>
      <c r="H37" s="2">
        <f t="shared" si="0"/>
        <v>309400</v>
      </c>
      <c r="I37" s="2">
        <f t="shared" si="1"/>
        <v>123760</v>
      </c>
    </row>
    <row r="38" spans="1:9" x14ac:dyDescent="0.3">
      <c r="A38" s="1">
        <v>45737</v>
      </c>
      <c r="B38" t="s">
        <v>16</v>
      </c>
      <c r="C38" s="19" t="s">
        <v>8</v>
      </c>
      <c r="D38" t="s">
        <v>14</v>
      </c>
      <c r="E38">
        <v>9</v>
      </c>
      <c r="F38" s="4">
        <v>4300</v>
      </c>
      <c r="G38" s="2">
        <v>2150</v>
      </c>
      <c r="H38" s="2">
        <f t="shared" si="0"/>
        <v>38700</v>
      </c>
      <c r="I38" s="2">
        <f t="shared" si="1"/>
        <v>19350</v>
      </c>
    </row>
    <row r="39" spans="1:9" x14ac:dyDescent="0.3">
      <c r="A39" s="1">
        <v>45828</v>
      </c>
      <c r="B39" t="s">
        <v>18</v>
      </c>
      <c r="C39" s="19" t="s">
        <v>8</v>
      </c>
      <c r="D39" t="s">
        <v>14</v>
      </c>
      <c r="E39">
        <v>7</v>
      </c>
      <c r="F39" s="4">
        <v>4300</v>
      </c>
      <c r="G39" s="2">
        <v>2150</v>
      </c>
      <c r="H39" s="2">
        <f t="shared" si="0"/>
        <v>30100</v>
      </c>
      <c r="I39" s="2">
        <f t="shared" si="1"/>
        <v>15050</v>
      </c>
    </row>
    <row r="40" spans="1:9" x14ac:dyDescent="0.3">
      <c r="A40" s="1">
        <v>45337</v>
      </c>
      <c r="B40" t="s">
        <v>19</v>
      </c>
      <c r="C40" t="s">
        <v>5</v>
      </c>
      <c r="D40" t="s">
        <v>22</v>
      </c>
      <c r="E40">
        <v>14</v>
      </c>
      <c r="F40" s="4">
        <v>18400</v>
      </c>
      <c r="G40" s="2">
        <v>11040</v>
      </c>
      <c r="H40" s="2">
        <f t="shared" si="0"/>
        <v>257600</v>
      </c>
      <c r="I40" s="2">
        <f t="shared" si="1"/>
        <v>103040</v>
      </c>
    </row>
    <row r="41" spans="1:9" x14ac:dyDescent="0.3">
      <c r="A41" s="1">
        <v>45086</v>
      </c>
      <c r="B41" t="s">
        <v>10</v>
      </c>
      <c r="C41" t="s">
        <v>5</v>
      </c>
      <c r="D41" t="s">
        <v>6</v>
      </c>
      <c r="E41">
        <v>2</v>
      </c>
      <c r="F41" s="4">
        <v>68500</v>
      </c>
      <c r="G41" s="2">
        <v>47950</v>
      </c>
      <c r="H41" s="2">
        <f t="shared" si="0"/>
        <v>137000</v>
      </c>
      <c r="I41" s="2">
        <f t="shared" si="1"/>
        <v>41100</v>
      </c>
    </row>
    <row r="42" spans="1:9" x14ac:dyDescent="0.3">
      <c r="A42" s="1">
        <v>45148</v>
      </c>
      <c r="B42" t="s">
        <v>7</v>
      </c>
      <c r="C42" s="19" t="s">
        <v>8</v>
      </c>
      <c r="D42" t="s">
        <v>22</v>
      </c>
      <c r="E42">
        <v>5</v>
      </c>
      <c r="F42" s="4">
        <v>17500</v>
      </c>
      <c r="G42" s="2">
        <v>10500</v>
      </c>
      <c r="H42" s="2">
        <f t="shared" si="0"/>
        <v>87500</v>
      </c>
      <c r="I42" s="2">
        <f t="shared" si="1"/>
        <v>35000</v>
      </c>
    </row>
    <row r="43" spans="1:9" x14ac:dyDescent="0.3">
      <c r="A43" s="1">
        <v>45459</v>
      </c>
      <c r="B43" t="s">
        <v>7</v>
      </c>
      <c r="C43" t="s">
        <v>20</v>
      </c>
      <c r="D43" t="s">
        <v>22</v>
      </c>
      <c r="E43">
        <v>20</v>
      </c>
      <c r="F43" s="4">
        <v>21100</v>
      </c>
      <c r="G43" s="2">
        <v>12660</v>
      </c>
      <c r="H43" s="2">
        <f t="shared" si="0"/>
        <v>422000</v>
      </c>
      <c r="I43" s="2">
        <f t="shared" si="1"/>
        <v>168800</v>
      </c>
    </row>
    <row r="44" spans="1:9" x14ac:dyDescent="0.3">
      <c r="A44" s="1">
        <v>45130</v>
      </c>
      <c r="B44" t="s">
        <v>7</v>
      </c>
      <c r="C44" s="19" t="s">
        <v>8</v>
      </c>
      <c r="D44" t="s">
        <v>6</v>
      </c>
      <c r="E44">
        <v>12</v>
      </c>
      <c r="F44" s="4">
        <v>60000</v>
      </c>
      <c r="G44" s="2">
        <v>42000</v>
      </c>
      <c r="H44" s="2">
        <f t="shared" si="0"/>
        <v>720000</v>
      </c>
      <c r="I44" s="2">
        <f t="shared" si="1"/>
        <v>216000</v>
      </c>
    </row>
    <row r="45" spans="1:9" x14ac:dyDescent="0.3">
      <c r="A45" s="1">
        <v>45066</v>
      </c>
      <c r="B45" t="s">
        <v>16</v>
      </c>
      <c r="C45" t="s">
        <v>11</v>
      </c>
      <c r="D45" t="s">
        <v>22</v>
      </c>
      <c r="E45">
        <v>4</v>
      </c>
      <c r="F45" s="4">
        <v>14500</v>
      </c>
      <c r="G45" s="2">
        <v>8700</v>
      </c>
      <c r="H45" s="2">
        <f t="shared" si="0"/>
        <v>58000</v>
      </c>
      <c r="I45" s="2">
        <f t="shared" si="1"/>
        <v>23200</v>
      </c>
    </row>
    <row r="46" spans="1:9" x14ac:dyDescent="0.3">
      <c r="A46" s="1">
        <v>45107</v>
      </c>
      <c r="B46" t="s">
        <v>7</v>
      </c>
      <c r="C46" s="19" t="s">
        <v>8</v>
      </c>
      <c r="D46" t="s">
        <v>6</v>
      </c>
      <c r="E46">
        <v>2</v>
      </c>
      <c r="F46" s="4">
        <v>66400</v>
      </c>
      <c r="G46" s="2">
        <v>46480</v>
      </c>
      <c r="H46" s="2">
        <f t="shared" si="0"/>
        <v>132800</v>
      </c>
      <c r="I46" s="2">
        <f t="shared" si="1"/>
        <v>39840</v>
      </c>
    </row>
    <row r="47" spans="1:9" x14ac:dyDescent="0.3">
      <c r="A47" s="1">
        <v>45447</v>
      </c>
      <c r="B47" t="s">
        <v>10</v>
      </c>
      <c r="C47" s="19" t="s">
        <v>8</v>
      </c>
      <c r="D47" t="s">
        <v>21</v>
      </c>
      <c r="E47">
        <v>16</v>
      </c>
      <c r="F47" s="4">
        <v>27300</v>
      </c>
      <c r="G47" s="2">
        <v>16380</v>
      </c>
      <c r="H47" s="2">
        <f t="shared" si="0"/>
        <v>436800</v>
      </c>
      <c r="I47" s="2">
        <f t="shared" si="1"/>
        <v>174720</v>
      </c>
    </row>
    <row r="48" spans="1:9" x14ac:dyDescent="0.3">
      <c r="A48" s="1">
        <v>45691</v>
      </c>
      <c r="B48" t="s">
        <v>15</v>
      </c>
      <c r="C48" t="s">
        <v>20</v>
      </c>
      <c r="D48" t="s">
        <v>14</v>
      </c>
      <c r="E48">
        <v>11</v>
      </c>
      <c r="F48" s="4">
        <v>3000</v>
      </c>
      <c r="G48" s="2">
        <v>2100</v>
      </c>
      <c r="H48" s="2">
        <f t="shared" si="0"/>
        <v>33000</v>
      </c>
      <c r="I48" s="2">
        <f t="shared" si="1"/>
        <v>9900</v>
      </c>
    </row>
    <row r="49" spans="1:9" x14ac:dyDescent="0.3">
      <c r="A49" s="1">
        <v>45300</v>
      </c>
      <c r="B49" t="s">
        <v>15</v>
      </c>
      <c r="C49" t="s">
        <v>5</v>
      </c>
      <c r="D49" t="s">
        <v>21</v>
      </c>
      <c r="E49">
        <v>8</v>
      </c>
      <c r="F49" s="4">
        <v>30600</v>
      </c>
      <c r="G49" s="2">
        <v>18360</v>
      </c>
      <c r="H49" s="2">
        <f t="shared" si="0"/>
        <v>244800</v>
      </c>
      <c r="I49" s="2">
        <f t="shared" si="1"/>
        <v>97920</v>
      </c>
    </row>
    <row r="50" spans="1:9" x14ac:dyDescent="0.3">
      <c r="A50" s="1">
        <v>45365</v>
      </c>
      <c r="B50" t="s">
        <v>7</v>
      </c>
      <c r="C50" t="s">
        <v>11</v>
      </c>
      <c r="D50" t="s">
        <v>12</v>
      </c>
      <c r="E50">
        <v>5</v>
      </c>
      <c r="F50" s="4">
        <v>9200</v>
      </c>
      <c r="G50" s="2">
        <v>4600</v>
      </c>
      <c r="H50" s="2">
        <f t="shared" si="0"/>
        <v>46000</v>
      </c>
      <c r="I50" s="2">
        <f t="shared" si="1"/>
        <v>23000</v>
      </c>
    </row>
    <row r="51" spans="1:9" x14ac:dyDescent="0.3">
      <c r="A51" s="1">
        <v>45541</v>
      </c>
      <c r="B51" t="s">
        <v>10</v>
      </c>
      <c r="C51" t="s">
        <v>20</v>
      </c>
      <c r="D51" t="s">
        <v>17</v>
      </c>
      <c r="E51">
        <v>14</v>
      </c>
      <c r="F51" s="4">
        <v>16200</v>
      </c>
      <c r="G51" s="2">
        <v>9720</v>
      </c>
      <c r="H51" s="2">
        <f t="shared" si="0"/>
        <v>226800</v>
      </c>
      <c r="I51" s="2">
        <f t="shared" si="1"/>
        <v>90720</v>
      </c>
    </row>
    <row r="52" spans="1:9" x14ac:dyDescent="0.3">
      <c r="A52" s="1">
        <v>45002</v>
      </c>
      <c r="B52" t="s">
        <v>15</v>
      </c>
      <c r="C52" t="s">
        <v>5</v>
      </c>
      <c r="D52" t="s">
        <v>17</v>
      </c>
      <c r="E52">
        <v>13</v>
      </c>
      <c r="F52" s="4">
        <v>14100</v>
      </c>
      <c r="G52" s="2">
        <v>7755</v>
      </c>
      <c r="H52" s="2">
        <f t="shared" si="0"/>
        <v>183300</v>
      </c>
      <c r="I52" s="2">
        <f t="shared" si="1"/>
        <v>82485</v>
      </c>
    </row>
    <row r="53" spans="1:9" x14ac:dyDescent="0.3">
      <c r="A53" s="1">
        <v>45674</v>
      </c>
      <c r="B53" t="s">
        <v>10</v>
      </c>
      <c r="C53" t="s">
        <v>20</v>
      </c>
      <c r="D53" t="s">
        <v>14</v>
      </c>
      <c r="E53">
        <v>2</v>
      </c>
      <c r="F53" s="4">
        <v>3300</v>
      </c>
      <c r="G53" s="2">
        <v>1650</v>
      </c>
      <c r="H53" s="2">
        <f t="shared" si="0"/>
        <v>6600</v>
      </c>
      <c r="I53" s="2">
        <f t="shared" si="1"/>
        <v>3300</v>
      </c>
    </row>
    <row r="54" spans="1:9" x14ac:dyDescent="0.3">
      <c r="A54" s="1">
        <v>45547</v>
      </c>
      <c r="B54" t="s">
        <v>7</v>
      </c>
      <c r="C54" s="19" t="s">
        <v>8</v>
      </c>
      <c r="D54" t="s">
        <v>6</v>
      </c>
      <c r="E54">
        <v>1</v>
      </c>
      <c r="F54" s="4">
        <v>55300</v>
      </c>
      <c r="G54" s="2">
        <v>38710</v>
      </c>
      <c r="H54" s="2">
        <f t="shared" si="0"/>
        <v>55300</v>
      </c>
      <c r="I54" s="2">
        <f t="shared" si="1"/>
        <v>16590</v>
      </c>
    </row>
    <row r="55" spans="1:9" x14ac:dyDescent="0.3">
      <c r="A55" s="1">
        <v>45296</v>
      </c>
      <c r="B55" t="s">
        <v>19</v>
      </c>
      <c r="C55" s="19" t="s">
        <v>8</v>
      </c>
      <c r="D55" t="s">
        <v>17</v>
      </c>
      <c r="E55">
        <v>2</v>
      </c>
      <c r="F55" s="4">
        <v>12400</v>
      </c>
      <c r="G55" s="2">
        <v>8060</v>
      </c>
      <c r="H55" s="2">
        <f t="shared" si="0"/>
        <v>24800</v>
      </c>
      <c r="I55" s="2">
        <f t="shared" si="1"/>
        <v>8680</v>
      </c>
    </row>
    <row r="56" spans="1:9" x14ac:dyDescent="0.3">
      <c r="A56" s="1">
        <v>45401</v>
      </c>
      <c r="B56" t="s">
        <v>18</v>
      </c>
      <c r="C56" t="s">
        <v>20</v>
      </c>
      <c r="D56" t="s">
        <v>21</v>
      </c>
      <c r="E56">
        <v>11</v>
      </c>
      <c r="F56" s="4">
        <v>29300</v>
      </c>
      <c r="G56" s="2">
        <v>17580</v>
      </c>
      <c r="H56" s="2">
        <f t="shared" si="0"/>
        <v>322300</v>
      </c>
      <c r="I56" s="2">
        <f t="shared" si="1"/>
        <v>128920</v>
      </c>
    </row>
    <row r="57" spans="1:9" x14ac:dyDescent="0.3">
      <c r="A57" s="1">
        <v>45819</v>
      </c>
      <c r="B57" t="s">
        <v>7</v>
      </c>
      <c r="C57" t="s">
        <v>5</v>
      </c>
      <c r="D57" t="s">
        <v>21</v>
      </c>
      <c r="E57">
        <v>11</v>
      </c>
      <c r="F57" s="4">
        <v>27200</v>
      </c>
      <c r="G57" s="2">
        <v>16320</v>
      </c>
      <c r="H57" s="2">
        <f t="shared" si="0"/>
        <v>299200</v>
      </c>
      <c r="I57" s="2">
        <f t="shared" si="1"/>
        <v>119680</v>
      </c>
    </row>
    <row r="58" spans="1:9" x14ac:dyDescent="0.3">
      <c r="A58" s="1">
        <v>45722</v>
      </c>
      <c r="B58" t="s">
        <v>16</v>
      </c>
      <c r="C58" t="s">
        <v>5</v>
      </c>
      <c r="D58" t="s">
        <v>9</v>
      </c>
      <c r="E58">
        <v>17</v>
      </c>
      <c r="F58" s="4">
        <v>35100</v>
      </c>
      <c r="G58" s="2">
        <v>22815</v>
      </c>
      <c r="H58" s="2">
        <f t="shared" si="0"/>
        <v>596700</v>
      </c>
      <c r="I58" s="2">
        <f t="shared" si="1"/>
        <v>208845</v>
      </c>
    </row>
    <row r="59" spans="1:9" x14ac:dyDescent="0.3">
      <c r="A59" s="1">
        <v>45070</v>
      </c>
      <c r="B59" t="s">
        <v>7</v>
      </c>
      <c r="C59" t="s">
        <v>5</v>
      </c>
      <c r="D59" t="s">
        <v>14</v>
      </c>
      <c r="E59">
        <v>5</v>
      </c>
      <c r="F59" s="4">
        <v>3100</v>
      </c>
      <c r="G59" s="2">
        <v>1550</v>
      </c>
      <c r="H59" s="2">
        <f t="shared" si="0"/>
        <v>15500</v>
      </c>
      <c r="I59" s="2">
        <f t="shared" si="1"/>
        <v>7750</v>
      </c>
    </row>
    <row r="60" spans="1:9" x14ac:dyDescent="0.3">
      <c r="A60" s="1">
        <v>44953</v>
      </c>
      <c r="B60" t="s">
        <v>19</v>
      </c>
      <c r="C60" s="19" t="s">
        <v>8</v>
      </c>
      <c r="D60" t="s">
        <v>9</v>
      </c>
      <c r="E60">
        <v>11</v>
      </c>
      <c r="F60" s="4">
        <v>38400</v>
      </c>
      <c r="G60" s="2">
        <v>24960</v>
      </c>
      <c r="H60" s="2">
        <f t="shared" si="0"/>
        <v>422400</v>
      </c>
      <c r="I60" s="2">
        <f t="shared" si="1"/>
        <v>147840</v>
      </c>
    </row>
    <row r="61" spans="1:9" x14ac:dyDescent="0.3">
      <c r="A61" s="1">
        <v>45372</v>
      </c>
      <c r="B61" t="s">
        <v>19</v>
      </c>
      <c r="C61" s="19" t="s">
        <v>8</v>
      </c>
      <c r="D61" t="s">
        <v>6</v>
      </c>
      <c r="E61">
        <v>18</v>
      </c>
      <c r="F61" s="4">
        <v>74300</v>
      </c>
      <c r="G61" s="2">
        <v>52010</v>
      </c>
      <c r="H61" s="2">
        <f t="shared" si="0"/>
        <v>1337400</v>
      </c>
      <c r="I61" s="2">
        <f t="shared" si="1"/>
        <v>401220</v>
      </c>
    </row>
    <row r="62" spans="1:9" x14ac:dyDescent="0.3">
      <c r="A62" s="1">
        <v>45682</v>
      </c>
      <c r="B62" t="s">
        <v>15</v>
      </c>
      <c r="C62" t="s">
        <v>20</v>
      </c>
      <c r="D62" t="s">
        <v>6</v>
      </c>
      <c r="E62">
        <v>20</v>
      </c>
      <c r="F62" s="4">
        <v>78300</v>
      </c>
      <c r="G62" s="2">
        <v>54810</v>
      </c>
      <c r="H62" s="2">
        <f t="shared" si="0"/>
        <v>1566000</v>
      </c>
      <c r="I62" s="2">
        <f t="shared" si="1"/>
        <v>469800</v>
      </c>
    </row>
    <row r="63" spans="1:9" x14ac:dyDescent="0.3">
      <c r="A63" s="1">
        <v>45089</v>
      </c>
      <c r="B63" t="s">
        <v>7</v>
      </c>
      <c r="C63" t="s">
        <v>11</v>
      </c>
      <c r="D63" t="s">
        <v>9</v>
      </c>
      <c r="E63">
        <v>8</v>
      </c>
      <c r="F63" s="4">
        <v>29300</v>
      </c>
      <c r="G63" s="2">
        <v>19045</v>
      </c>
      <c r="H63" s="2">
        <f t="shared" si="0"/>
        <v>234400</v>
      </c>
      <c r="I63" s="2">
        <f t="shared" si="1"/>
        <v>82040</v>
      </c>
    </row>
    <row r="64" spans="1:9" x14ac:dyDescent="0.3">
      <c r="A64" s="1">
        <v>45738</v>
      </c>
      <c r="B64" t="s">
        <v>10</v>
      </c>
      <c r="C64" s="19" t="s">
        <v>8</v>
      </c>
      <c r="D64" t="s">
        <v>14</v>
      </c>
      <c r="E64">
        <v>3</v>
      </c>
      <c r="F64" s="4">
        <v>4500</v>
      </c>
      <c r="G64" s="2">
        <v>2250</v>
      </c>
      <c r="H64" s="2">
        <f t="shared" si="0"/>
        <v>13500</v>
      </c>
      <c r="I64" s="2">
        <f t="shared" si="1"/>
        <v>6750</v>
      </c>
    </row>
    <row r="65" spans="1:9" x14ac:dyDescent="0.3">
      <c r="A65" s="1">
        <v>45346</v>
      </c>
      <c r="B65" t="s">
        <v>19</v>
      </c>
      <c r="C65" t="s">
        <v>11</v>
      </c>
      <c r="D65" t="s">
        <v>12</v>
      </c>
      <c r="E65">
        <v>16</v>
      </c>
      <c r="F65" s="4">
        <v>10000</v>
      </c>
      <c r="G65" s="2">
        <v>5500</v>
      </c>
      <c r="H65" s="2">
        <f t="shared" si="0"/>
        <v>160000</v>
      </c>
      <c r="I65" s="2">
        <f t="shared" si="1"/>
        <v>72000</v>
      </c>
    </row>
    <row r="66" spans="1:9" x14ac:dyDescent="0.3">
      <c r="A66" s="1">
        <v>45269</v>
      </c>
      <c r="B66" t="s">
        <v>15</v>
      </c>
      <c r="C66" s="19" t="s">
        <v>8</v>
      </c>
      <c r="D66" t="s">
        <v>14</v>
      </c>
      <c r="E66">
        <v>15</v>
      </c>
      <c r="F66" s="4">
        <v>5500</v>
      </c>
      <c r="G66" s="2">
        <v>2750</v>
      </c>
      <c r="H66" s="2">
        <f t="shared" si="0"/>
        <v>82500</v>
      </c>
      <c r="I66" s="2">
        <f t="shared" si="1"/>
        <v>41250</v>
      </c>
    </row>
    <row r="67" spans="1:9" x14ac:dyDescent="0.3">
      <c r="A67" s="1">
        <v>45200</v>
      </c>
      <c r="B67" t="s">
        <v>15</v>
      </c>
      <c r="C67" t="s">
        <v>20</v>
      </c>
      <c r="D67" t="s">
        <v>17</v>
      </c>
      <c r="E67">
        <v>3</v>
      </c>
      <c r="F67" s="4">
        <v>15100</v>
      </c>
      <c r="G67" s="2">
        <v>9815</v>
      </c>
      <c r="H67" s="2">
        <f t="shared" ref="H67:H100" si="2">E67*F67</f>
        <v>45300</v>
      </c>
      <c r="I67" s="2">
        <f t="shared" ref="I67:I100" si="3">H67-(G67*E67)</f>
        <v>15855</v>
      </c>
    </row>
    <row r="68" spans="1:9" x14ac:dyDescent="0.3">
      <c r="A68" s="1">
        <v>45138</v>
      </c>
      <c r="B68" t="s">
        <v>15</v>
      </c>
      <c r="C68" t="s">
        <v>20</v>
      </c>
      <c r="D68" t="s">
        <v>21</v>
      </c>
      <c r="E68">
        <v>5</v>
      </c>
      <c r="F68" s="4">
        <v>46500</v>
      </c>
      <c r="G68" s="2">
        <v>27900</v>
      </c>
      <c r="H68" s="2">
        <f t="shared" si="2"/>
        <v>232500</v>
      </c>
      <c r="I68" s="2">
        <f t="shared" si="3"/>
        <v>93000</v>
      </c>
    </row>
    <row r="69" spans="1:9" x14ac:dyDescent="0.3">
      <c r="A69" s="1">
        <v>45650</v>
      </c>
      <c r="B69" t="s">
        <v>16</v>
      </c>
      <c r="C69" s="19" t="s">
        <v>8</v>
      </c>
      <c r="D69" t="s">
        <v>14</v>
      </c>
      <c r="E69">
        <v>8</v>
      </c>
      <c r="F69" s="4">
        <v>4400</v>
      </c>
      <c r="G69" s="2">
        <v>2200</v>
      </c>
      <c r="H69" s="2">
        <f t="shared" si="2"/>
        <v>35200</v>
      </c>
      <c r="I69" s="2">
        <f t="shared" si="3"/>
        <v>17600</v>
      </c>
    </row>
    <row r="70" spans="1:9" x14ac:dyDescent="0.3">
      <c r="A70" s="1">
        <v>45611</v>
      </c>
      <c r="B70" t="s">
        <v>19</v>
      </c>
      <c r="C70" t="s">
        <v>11</v>
      </c>
      <c r="D70" t="s">
        <v>9</v>
      </c>
      <c r="E70">
        <v>1</v>
      </c>
      <c r="F70" s="4">
        <v>18200</v>
      </c>
      <c r="G70" s="2">
        <v>11830</v>
      </c>
      <c r="H70" s="2">
        <f t="shared" si="2"/>
        <v>18200</v>
      </c>
      <c r="I70" s="2">
        <f t="shared" si="3"/>
        <v>6370</v>
      </c>
    </row>
    <row r="71" spans="1:9" x14ac:dyDescent="0.3">
      <c r="A71" s="1">
        <v>45729</v>
      </c>
      <c r="B71" t="s">
        <v>16</v>
      </c>
      <c r="C71" s="19" t="s">
        <v>8</v>
      </c>
      <c r="D71" t="s">
        <v>17</v>
      </c>
      <c r="E71">
        <v>16</v>
      </c>
      <c r="F71" s="4">
        <v>17000</v>
      </c>
      <c r="G71" s="2">
        <v>11050</v>
      </c>
      <c r="H71" s="2">
        <f t="shared" si="2"/>
        <v>272000</v>
      </c>
      <c r="I71" s="2">
        <f t="shared" si="3"/>
        <v>95200</v>
      </c>
    </row>
    <row r="72" spans="1:9" x14ac:dyDescent="0.3">
      <c r="A72" s="1">
        <v>45354</v>
      </c>
      <c r="B72" t="s">
        <v>10</v>
      </c>
      <c r="C72" t="s">
        <v>5</v>
      </c>
      <c r="D72" t="s">
        <v>21</v>
      </c>
      <c r="E72">
        <v>15</v>
      </c>
      <c r="F72" s="4">
        <v>30300</v>
      </c>
      <c r="G72" s="2">
        <v>18180</v>
      </c>
      <c r="H72" s="2">
        <f t="shared" si="2"/>
        <v>454500</v>
      </c>
      <c r="I72" s="2">
        <f t="shared" si="3"/>
        <v>181800</v>
      </c>
    </row>
    <row r="73" spans="1:9" x14ac:dyDescent="0.3">
      <c r="A73" s="1">
        <v>44968</v>
      </c>
      <c r="B73" t="s">
        <v>7</v>
      </c>
      <c r="C73" t="s">
        <v>20</v>
      </c>
      <c r="D73" t="s">
        <v>21</v>
      </c>
      <c r="E73">
        <v>20</v>
      </c>
      <c r="F73" s="4">
        <v>34500</v>
      </c>
      <c r="G73" s="2">
        <v>20700</v>
      </c>
      <c r="H73" s="2">
        <f t="shared" si="2"/>
        <v>690000</v>
      </c>
      <c r="I73" s="2">
        <f t="shared" si="3"/>
        <v>276000</v>
      </c>
    </row>
    <row r="74" spans="1:9" x14ac:dyDescent="0.3">
      <c r="A74" s="1">
        <v>45225</v>
      </c>
      <c r="B74" t="s">
        <v>16</v>
      </c>
      <c r="C74" s="19" t="s">
        <v>8</v>
      </c>
      <c r="D74" t="s">
        <v>12</v>
      </c>
      <c r="E74">
        <v>13</v>
      </c>
      <c r="F74" s="4">
        <v>11500</v>
      </c>
      <c r="G74" s="2">
        <v>6325</v>
      </c>
      <c r="H74" s="2">
        <f t="shared" si="2"/>
        <v>149500</v>
      </c>
      <c r="I74" s="2">
        <f t="shared" si="3"/>
        <v>67275</v>
      </c>
    </row>
    <row r="75" spans="1:9" x14ac:dyDescent="0.3">
      <c r="A75" s="1">
        <v>45220</v>
      </c>
      <c r="B75" t="s">
        <v>10</v>
      </c>
      <c r="C75" s="19" t="s">
        <v>8</v>
      </c>
      <c r="D75" t="s">
        <v>17</v>
      </c>
      <c r="E75">
        <v>13</v>
      </c>
      <c r="F75" s="4">
        <v>15200</v>
      </c>
      <c r="G75" s="2">
        <v>9880</v>
      </c>
      <c r="H75" s="2">
        <f t="shared" si="2"/>
        <v>197600</v>
      </c>
      <c r="I75" s="2">
        <f t="shared" si="3"/>
        <v>69160</v>
      </c>
    </row>
    <row r="76" spans="1:9" x14ac:dyDescent="0.3">
      <c r="A76" s="1">
        <v>45305</v>
      </c>
      <c r="B76" t="s">
        <v>18</v>
      </c>
      <c r="C76" t="s">
        <v>5</v>
      </c>
      <c r="D76" t="s">
        <v>21</v>
      </c>
      <c r="E76">
        <v>19</v>
      </c>
      <c r="F76" s="4">
        <v>28000</v>
      </c>
      <c r="G76" s="2">
        <v>16800</v>
      </c>
      <c r="H76" s="2">
        <f t="shared" si="2"/>
        <v>532000</v>
      </c>
      <c r="I76" s="2">
        <f t="shared" si="3"/>
        <v>212800</v>
      </c>
    </row>
    <row r="77" spans="1:9" x14ac:dyDescent="0.3">
      <c r="A77" s="1">
        <v>45134</v>
      </c>
      <c r="B77" t="s">
        <v>7</v>
      </c>
      <c r="C77" t="s">
        <v>20</v>
      </c>
      <c r="D77" t="s">
        <v>12</v>
      </c>
      <c r="E77">
        <v>10</v>
      </c>
      <c r="F77" s="4">
        <v>10600</v>
      </c>
      <c r="G77" s="2">
        <v>5830</v>
      </c>
      <c r="H77" s="2">
        <f t="shared" si="2"/>
        <v>106000</v>
      </c>
      <c r="I77" s="2">
        <f t="shared" si="3"/>
        <v>47700</v>
      </c>
    </row>
    <row r="78" spans="1:9" x14ac:dyDescent="0.3">
      <c r="A78" s="1">
        <v>45588</v>
      </c>
      <c r="B78" t="s">
        <v>19</v>
      </c>
      <c r="C78" s="19" t="s">
        <v>8</v>
      </c>
      <c r="D78" t="s">
        <v>9</v>
      </c>
      <c r="E78">
        <v>14</v>
      </c>
      <c r="F78" s="4">
        <v>41400</v>
      </c>
      <c r="G78" s="2">
        <v>26910</v>
      </c>
      <c r="H78" s="2">
        <f t="shared" si="2"/>
        <v>579600</v>
      </c>
      <c r="I78" s="2">
        <f t="shared" si="3"/>
        <v>202860</v>
      </c>
    </row>
    <row r="79" spans="1:9" x14ac:dyDescent="0.3">
      <c r="A79" s="1">
        <v>45195</v>
      </c>
      <c r="B79" t="s">
        <v>10</v>
      </c>
      <c r="C79" s="19" t="s">
        <v>8</v>
      </c>
      <c r="D79" t="s">
        <v>14</v>
      </c>
      <c r="E79">
        <v>5</v>
      </c>
      <c r="F79" s="4">
        <v>5600</v>
      </c>
      <c r="G79" s="2">
        <v>2800</v>
      </c>
      <c r="H79" s="2">
        <f t="shared" si="2"/>
        <v>28000</v>
      </c>
      <c r="I79" s="2">
        <f t="shared" si="3"/>
        <v>14000</v>
      </c>
    </row>
    <row r="80" spans="1:9" x14ac:dyDescent="0.3">
      <c r="A80" s="1">
        <v>45276</v>
      </c>
      <c r="B80" t="s">
        <v>16</v>
      </c>
      <c r="C80" t="s">
        <v>5</v>
      </c>
      <c r="D80" t="s">
        <v>9</v>
      </c>
      <c r="E80">
        <v>13</v>
      </c>
      <c r="F80" s="4">
        <v>36200</v>
      </c>
      <c r="G80" s="2">
        <v>23530</v>
      </c>
      <c r="H80" s="2">
        <f t="shared" si="2"/>
        <v>470600</v>
      </c>
      <c r="I80" s="2">
        <f t="shared" si="3"/>
        <v>164710</v>
      </c>
    </row>
    <row r="81" spans="1:9" x14ac:dyDescent="0.3">
      <c r="A81" s="1">
        <v>45293</v>
      </c>
      <c r="B81" t="s">
        <v>10</v>
      </c>
      <c r="C81" t="s">
        <v>11</v>
      </c>
      <c r="D81" t="s">
        <v>22</v>
      </c>
      <c r="E81">
        <v>9</v>
      </c>
      <c r="F81" s="4">
        <v>19400</v>
      </c>
      <c r="G81" s="2">
        <v>11640</v>
      </c>
      <c r="H81" s="2">
        <f t="shared" si="2"/>
        <v>174600</v>
      </c>
      <c r="I81" s="2">
        <f t="shared" si="3"/>
        <v>69840</v>
      </c>
    </row>
    <row r="82" spans="1:9" x14ac:dyDescent="0.3">
      <c r="A82" s="1">
        <v>45338</v>
      </c>
      <c r="B82" t="s">
        <v>10</v>
      </c>
      <c r="C82" t="s">
        <v>11</v>
      </c>
      <c r="D82" t="s">
        <v>9</v>
      </c>
      <c r="E82">
        <v>4</v>
      </c>
      <c r="F82" s="4">
        <v>48900</v>
      </c>
      <c r="G82" s="2">
        <v>31785</v>
      </c>
      <c r="H82" s="2">
        <f t="shared" si="2"/>
        <v>195600</v>
      </c>
      <c r="I82" s="2">
        <f t="shared" si="3"/>
        <v>68460</v>
      </c>
    </row>
    <row r="83" spans="1:9" x14ac:dyDescent="0.3">
      <c r="A83" s="1">
        <v>45415</v>
      </c>
      <c r="B83" t="s">
        <v>15</v>
      </c>
      <c r="C83" t="s">
        <v>5</v>
      </c>
      <c r="D83" t="s">
        <v>17</v>
      </c>
      <c r="E83">
        <v>5</v>
      </c>
      <c r="F83" s="4">
        <v>14400</v>
      </c>
      <c r="G83" s="2">
        <v>9360</v>
      </c>
      <c r="H83" s="2">
        <f t="shared" si="2"/>
        <v>72000</v>
      </c>
      <c r="I83" s="2">
        <f t="shared" si="3"/>
        <v>25200</v>
      </c>
    </row>
    <row r="84" spans="1:9" x14ac:dyDescent="0.3">
      <c r="A84" s="1">
        <v>45073</v>
      </c>
      <c r="B84" t="s">
        <v>19</v>
      </c>
      <c r="C84" t="s">
        <v>20</v>
      </c>
      <c r="D84" t="s">
        <v>17</v>
      </c>
      <c r="E84">
        <v>18</v>
      </c>
      <c r="F84" s="4">
        <v>18100</v>
      </c>
      <c r="G84" s="2">
        <v>11765</v>
      </c>
      <c r="H84" s="2">
        <f t="shared" si="2"/>
        <v>325800</v>
      </c>
      <c r="I84" s="2">
        <f t="shared" si="3"/>
        <v>114030</v>
      </c>
    </row>
    <row r="85" spans="1:9" x14ac:dyDescent="0.3">
      <c r="A85" s="1">
        <v>44931</v>
      </c>
      <c r="B85" t="s">
        <v>19</v>
      </c>
      <c r="C85" t="s">
        <v>5</v>
      </c>
      <c r="D85" t="s">
        <v>12</v>
      </c>
      <c r="E85">
        <v>12</v>
      </c>
      <c r="F85" s="4">
        <v>9600</v>
      </c>
      <c r="G85" s="2">
        <v>5280</v>
      </c>
      <c r="H85" s="2">
        <f t="shared" si="2"/>
        <v>115200</v>
      </c>
      <c r="I85" s="2">
        <f t="shared" si="3"/>
        <v>51840</v>
      </c>
    </row>
    <row r="86" spans="1:9" x14ac:dyDescent="0.3">
      <c r="A86" s="1">
        <v>45798</v>
      </c>
      <c r="B86" t="s">
        <v>18</v>
      </c>
      <c r="C86" t="s">
        <v>5</v>
      </c>
      <c r="D86" t="s">
        <v>14</v>
      </c>
      <c r="E86">
        <v>20</v>
      </c>
      <c r="F86" s="4">
        <v>4100</v>
      </c>
      <c r="G86" s="2">
        <v>2050</v>
      </c>
      <c r="H86" s="2">
        <f t="shared" si="2"/>
        <v>82000</v>
      </c>
      <c r="I86" s="2">
        <f t="shared" si="3"/>
        <v>41000</v>
      </c>
    </row>
    <row r="87" spans="1:9" x14ac:dyDescent="0.3">
      <c r="A87" s="1">
        <v>45128</v>
      </c>
      <c r="B87" t="s">
        <v>7</v>
      </c>
      <c r="C87" t="s">
        <v>5</v>
      </c>
      <c r="D87" t="s">
        <v>21</v>
      </c>
      <c r="E87">
        <v>17</v>
      </c>
      <c r="F87" s="4">
        <v>31400</v>
      </c>
      <c r="G87" s="2">
        <v>18840</v>
      </c>
      <c r="H87" s="2">
        <f t="shared" si="2"/>
        <v>533800</v>
      </c>
      <c r="I87" s="2">
        <f t="shared" si="3"/>
        <v>213520</v>
      </c>
    </row>
    <row r="88" spans="1:9" x14ac:dyDescent="0.3">
      <c r="A88" s="1">
        <v>45802</v>
      </c>
      <c r="B88" t="s">
        <v>19</v>
      </c>
      <c r="C88" t="s">
        <v>5</v>
      </c>
      <c r="D88" t="s">
        <v>6</v>
      </c>
      <c r="E88">
        <v>15</v>
      </c>
      <c r="F88" s="4">
        <v>65000</v>
      </c>
      <c r="G88" s="2">
        <v>45500</v>
      </c>
      <c r="H88" s="2">
        <f t="shared" si="2"/>
        <v>975000</v>
      </c>
      <c r="I88" s="2">
        <f t="shared" si="3"/>
        <v>292500</v>
      </c>
    </row>
    <row r="89" spans="1:9" x14ac:dyDescent="0.3">
      <c r="A89" s="1">
        <v>45612</v>
      </c>
      <c r="B89" t="s">
        <v>19</v>
      </c>
      <c r="C89" s="19" t="s">
        <v>8</v>
      </c>
      <c r="D89" t="s">
        <v>21</v>
      </c>
      <c r="E89">
        <v>20</v>
      </c>
      <c r="F89" s="4">
        <v>33500</v>
      </c>
      <c r="G89" s="2">
        <v>20100</v>
      </c>
      <c r="H89" s="2">
        <f t="shared" si="2"/>
        <v>670000</v>
      </c>
      <c r="I89" s="2">
        <f t="shared" si="3"/>
        <v>268000</v>
      </c>
    </row>
    <row r="90" spans="1:9" x14ac:dyDescent="0.3">
      <c r="A90" s="1">
        <v>45249</v>
      </c>
      <c r="B90" t="s">
        <v>15</v>
      </c>
      <c r="C90" t="s">
        <v>11</v>
      </c>
      <c r="D90" t="s">
        <v>6</v>
      </c>
      <c r="E90">
        <v>16</v>
      </c>
      <c r="F90" s="4">
        <v>76500</v>
      </c>
      <c r="G90" s="2">
        <v>53550</v>
      </c>
      <c r="H90" s="2">
        <f t="shared" si="2"/>
        <v>1224000</v>
      </c>
      <c r="I90" s="2">
        <f t="shared" si="3"/>
        <v>367200</v>
      </c>
    </row>
    <row r="91" spans="1:9" x14ac:dyDescent="0.3">
      <c r="A91" s="1">
        <v>45669</v>
      </c>
      <c r="B91" t="s">
        <v>19</v>
      </c>
      <c r="C91" t="s">
        <v>20</v>
      </c>
      <c r="D91" t="s">
        <v>6</v>
      </c>
      <c r="E91">
        <v>15</v>
      </c>
      <c r="F91" s="4">
        <v>72400</v>
      </c>
      <c r="G91" s="2">
        <v>50680</v>
      </c>
      <c r="H91" s="2">
        <f t="shared" si="2"/>
        <v>1086000</v>
      </c>
      <c r="I91" s="2">
        <f t="shared" si="3"/>
        <v>325800</v>
      </c>
    </row>
    <row r="92" spans="1:9" x14ac:dyDescent="0.3">
      <c r="A92" s="1">
        <v>45014</v>
      </c>
      <c r="B92" t="s">
        <v>16</v>
      </c>
      <c r="C92" t="s">
        <v>11</v>
      </c>
      <c r="D92" t="s">
        <v>17</v>
      </c>
      <c r="E92">
        <v>19</v>
      </c>
      <c r="F92" s="4">
        <v>19600</v>
      </c>
      <c r="G92" s="2">
        <v>12740</v>
      </c>
      <c r="H92" s="2">
        <f t="shared" si="2"/>
        <v>372400</v>
      </c>
      <c r="I92" s="2">
        <f t="shared" si="3"/>
        <v>130340</v>
      </c>
    </row>
    <row r="93" spans="1:9" x14ac:dyDescent="0.3">
      <c r="A93" s="1">
        <v>45717</v>
      </c>
      <c r="B93" t="s">
        <v>16</v>
      </c>
      <c r="C93" t="s">
        <v>11</v>
      </c>
      <c r="D93" t="s">
        <v>12</v>
      </c>
      <c r="E93">
        <v>8</v>
      </c>
      <c r="F93" s="4">
        <v>8200</v>
      </c>
      <c r="G93" s="2">
        <v>4510</v>
      </c>
      <c r="H93" s="2">
        <f t="shared" si="2"/>
        <v>65600</v>
      </c>
      <c r="I93" s="2">
        <f t="shared" si="3"/>
        <v>29520</v>
      </c>
    </row>
    <row r="94" spans="1:9" x14ac:dyDescent="0.3">
      <c r="A94" s="1">
        <v>45217</v>
      </c>
      <c r="B94" t="s">
        <v>18</v>
      </c>
      <c r="C94" t="s">
        <v>11</v>
      </c>
      <c r="D94" t="s">
        <v>14</v>
      </c>
      <c r="E94">
        <v>12</v>
      </c>
      <c r="F94" s="4">
        <v>4500</v>
      </c>
      <c r="G94" s="2">
        <v>2250</v>
      </c>
      <c r="H94" s="2">
        <f t="shared" si="2"/>
        <v>54000</v>
      </c>
      <c r="I94" s="2">
        <f t="shared" si="3"/>
        <v>27000</v>
      </c>
    </row>
    <row r="95" spans="1:9" x14ac:dyDescent="0.3">
      <c r="A95" s="1">
        <v>45760</v>
      </c>
      <c r="B95" t="s">
        <v>19</v>
      </c>
      <c r="C95" t="s">
        <v>5</v>
      </c>
      <c r="D95" t="s">
        <v>12</v>
      </c>
      <c r="E95">
        <v>10</v>
      </c>
      <c r="F95" s="4">
        <v>10500</v>
      </c>
      <c r="G95" s="2">
        <v>5775</v>
      </c>
      <c r="H95" s="2">
        <f t="shared" si="2"/>
        <v>105000</v>
      </c>
      <c r="I95" s="2">
        <f t="shared" si="3"/>
        <v>47250</v>
      </c>
    </row>
    <row r="96" spans="1:9" x14ac:dyDescent="0.3">
      <c r="A96" s="1">
        <v>45790</v>
      </c>
      <c r="B96" t="s">
        <v>10</v>
      </c>
      <c r="C96" t="s">
        <v>11</v>
      </c>
      <c r="D96" t="s">
        <v>6</v>
      </c>
      <c r="E96">
        <v>7</v>
      </c>
      <c r="F96" s="4">
        <v>58500</v>
      </c>
      <c r="G96" s="2">
        <v>40950</v>
      </c>
      <c r="H96" s="2">
        <f t="shared" si="2"/>
        <v>409500</v>
      </c>
      <c r="I96" s="2">
        <f t="shared" si="3"/>
        <v>122850</v>
      </c>
    </row>
    <row r="97" spans="1:9" x14ac:dyDescent="0.3">
      <c r="A97" s="1">
        <v>45403</v>
      </c>
      <c r="B97" t="s">
        <v>7</v>
      </c>
      <c r="C97" t="s">
        <v>20</v>
      </c>
      <c r="D97" t="s">
        <v>22</v>
      </c>
      <c r="E97">
        <v>17</v>
      </c>
      <c r="F97" s="4">
        <v>21300</v>
      </c>
      <c r="G97" s="2">
        <v>12780</v>
      </c>
      <c r="H97" s="2">
        <f t="shared" si="2"/>
        <v>362100</v>
      </c>
      <c r="I97" s="2">
        <f t="shared" si="3"/>
        <v>144840</v>
      </c>
    </row>
    <row r="98" spans="1:9" x14ac:dyDescent="0.3">
      <c r="A98" s="1">
        <v>45688</v>
      </c>
      <c r="B98" t="s">
        <v>7</v>
      </c>
      <c r="C98" s="19" t="s">
        <v>8</v>
      </c>
      <c r="D98" t="s">
        <v>17</v>
      </c>
      <c r="E98">
        <v>1</v>
      </c>
      <c r="F98" s="4">
        <v>15300</v>
      </c>
      <c r="G98" s="2">
        <v>9945</v>
      </c>
      <c r="H98" s="2">
        <f t="shared" si="2"/>
        <v>15300</v>
      </c>
      <c r="I98" s="2">
        <f t="shared" si="3"/>
        <v>5355</v>
      </c>
    </row>
    <row r="99" spans="1:9" x14ac:dyDescent="0.3">
      <c r="A99" s="1">
        <v>45730</v>
      </c>
      <c r="B99" t="s">
        <v>19</v>
      </c>
      <c r="C99" t="s">
        <v>11</v>
      </c>
      <c r="D99" t="s">
        <v>14</v>
      </c>
      <c r="E99">
        <v>10</v>
      </c>
      <c r="F99" s="4">
        <v>1500</v>
      </c>
      <c r="G99" s="2">
        <v>750</v>
      </c>
      <c r="H99" s="2">
        <f t="shared" si="2"/>
        <v>15000</v>
      </c>
      <c r="I99" s="2">
        <f t="shared" si="3"/>
        <v>7500</v>
      </c>
    </row>
    <row r="100" spans="1:9" x14ac:dyDescent="0.3">
      <c r="A100" s="1">
        <v>45438</v>
      </c>
      <c r="B100" t="s">
        <v>10</v>
      </c>
      <c r="C100" t="s">
        <v>20</v>
      </c>
      <c r="D100" t="s">
        <v>6</v>
      </c>
      <c r="E100">
        <v>20</v>
      </c>
      <c r="F100" s="4">
        <v>85500</v>
      </c>
      <c r="G100" s="2">
        <v>59850</v>
      </c>
      <c r="H100" s="2">
        <f t="shared" si="2"/>
        <v>1710000</v>
      </c>
      <c r="I100" s="2">
        <f t="shared" si="3"/>
        <v>513000</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703A4-8FA2-429F-92E0-6F8F1C177DDC}">
  <dimension ref="A1:A29"/>
  <sheetViews>
    <sheetView workbookViewId="0">
      <selection activeCell="A23" activeCellId="14" sqref="A1 A3 A5 A7 A9 A11 A13 A15 A17 A19 A21 A25 A27 A29 A23"/>
    </sheetView>
  </sheetViews>
  <sheetFormatPr defaultRowHeight="14" x14ac:dyDescent="0.3"/>
  <sheetData>
    <row r="1" spans="1:1" x14ac:dyDescent="0.3">
      <c r="A1" t="s">
        <v>36</v>
      </c>
    </row>
    <row r="3" spans="1:1" x14ac:dyDescent="0.3">
      <c r="A3" t="s">
        <v>37</v>
      </c>
    </row>
    <row r="5" spans="1:1" x14ac:dyDescent="0.3">
      <c r="A5" t="s">
        <v>38</v>
      </c>
    </row>
    <row r="7" spans="1:1" x14ac:dyDescent="0.3">
      <c r="A7" t="s">
        <v>39</v>
      </c>
    </row>
    <row r="9" spans="1:1" x14ac:dyDescent="0.3">
      <c r="A9" t="s">
        <v>40</v>
      </c>
    </row>
    <row r="11" spans="1:1" x14ac:dyDescent="0.3">
      <c r="A11" t="s">
        <v>41</v>
      </c>
    </row>
    <row r="13" spans="1:1" x14ac:dyDescent="0.3">
      <c r="A13" t="s">
        <v>42</v>
      </c>
    </row>
    <row r="15" spans="1:1" x14ac:dyDescent="0.3">
      <c r="A15" t="s">
        <v>43</v>
      </c>
    </row>
    <row r="17" spans="1:1" x14ac:dyDescent="0.3">
      <c r="A17" t="s">
        <v>44</v>
      </c>
    </row>
    <row r="19" spans="1:1" x14ac:dyDescent="0.3">
      <c r="A19" t="s">
        <v>45</v>
      </c>
    </row>
    <row r="21" spans="1:1" x14ac:dyDescent="0.3">
      <c r="A21" t="s">
        <v>46</v>
      </c>
    </row>
    <row r="23" spans="1:1" x14ac:dyDescent="0.3">
      <c r="A23" t="s">
        <v>47</v>
      </c>
    </row>
    <row r="25" spans="1:1" x14ac:dyDescent="0.3">
      <c r="A25" t="s">
        <v>48</v>
      </c>
    </row>
    <row r="27" spans="1:1" x14ac:dyDescent="0.3">
      <c r="A27" t="s">
        <v>49</v>
      </c>
    </row>
    <row r="29" spans="1:1" x14ac:dyDescent="0.3">
      <c r="A29" t="s">
        <v>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C473F-BC7D-4BFF-A355-9512E3A8D4E1}">
  <dimension ref="A3:K32"/>
  <sheetViews>
    <sheetView zoomScale="28" zoomScaleNormal="70" workbookViewId="0">
      <selection activeCell="F48" sqref="F48"/>
    </sheetView>
  </sheetViews>
  <sheetFormatPr defaultRowHeight="14" x14ac:dyDescent="0.3"/>
  <cols>
    <col min="1" max="1" width="21.25" bestFit="1" customWidth="1"/>
    <col min="2" max="2" width="22.08203125" bestFit="1" customWidth="1"/>
    <col min="4" max="4" width="21.25" bestFit="1" customWidth="1"/>
    <col min="5" max="5" width="22.08203125" bestFit="1" customWidth="1"/>
    <col min="7" max="7" width="21.25" bestFit="1" customWidth="1"/>
    <col min="8" max="8" width="22.08203125" bestFit="1" customWidth="1"/>
    <col min="10" max="10" width="21.25" bestFit="1" customWidth="1"/>
    <col min="11" max="11" width="21.5" bestFit="1" customWidth="1"/>
    <col min="12" max="12" width="15.83203125" customWidth="1"/>
  </cols>
  <sheetData>
    <row r="3" spans="1:11" x14ac:dyDescent="0.3">
      <c r="A3" s="13" t="s">
        <v>31</v>
      </c>
      <c r="B3" t="s">
        <v>33</v>
      </c>
      <c r="D3" s="13" t="s">
        <v>31</v>
      </c>
      <c r="E3" t="s">
        <v>33</v>
      </c>
      <c r="G3" s="13" t="s">
        <v>31</v>
      </c>
      <c r="H3" t="s">
        <v>33</v>
      </c>
      <c r="J3" s="13" t="s">
        <v>31</v>
      </c>
      <c r="K3" t="s">
        <v>34</v>
      </c>
    </row>
    <row r="4" spans="1:11" x14ac:dyDescent="0.3">
      <c r="A4" s="14" t="s">
        <v>20</v>
      </c>
      <c r="B4" s="15">
        <v>9526400</v>
      </c>
      <c r="D4" s="14" t="s">
        <v>6</v>
      </c>
      <c r="E4" s="15">
        <v>6280800</v>
      </c>
      <c r="G4" s="14" t="s">
        <v>10</v>
      </c>
      <c r="H4" s="15">
        <v>1943400</v>
      </c>
      <c r="J4" s="14" t="s">
        <v>6</v>
      </c>
      <c r="K4" s="20">
        <v>86</v>
      </c>
    </row>
    <row r="5" spans="1:11" x14ac:dyDescent="0.3">
      <c r="A5" s="14" t="s">
        <v>32</v>
      </c>
      <c r="B5" s="15">
        <v>9526400</v>
      </c>
      <c r="D5" s="14" t="s">
        <v>21</v>
      </c>
      <c r="E5" s="15">
        <v>1290400</v>
      </c>
      <c r="G5" s="14" t="s">
        <v>19</v>
      </c>
      <c r="H5" s="15">
        <v>2460600</v>
      </c>
      <c r="J5" s="14" t="s">
        <v>21</v>
      </c>
      <c r="K5" s="20">
        <v>37</v>
      </c>
    </row>
    <row r="6" spans="1:11" x14ac:dyDescent="0.3">
      <c r="D6" s="14" t="s">
        <v>14</v>
      </c>
      <c r="E6" s="15">
        <v>49800</v>
      </c>
      <c r="G6" s="14" t="s">
        <v>16</v>
      </c>
      <c r="H6" s="15">
        <v>62400</v>
      </c>
      <c r="J6" s="14" t="s">
        <v>14</v>
      </c>
      <c r="K6" s="20">
        <v>30</v>
      </c>
    </row>
    <row r="7" spans="1:11" x14ac:dyDescent="0.3">
      <c r="D7" s="14" t="s">
        <v>12</v>
      </c>
      <c r="E7" s="15">
        <v>134300</v>
      </c>
      <c r="G7" s="14" t="s">
        <v>18</v>
      </c>
      <c r="H7" s="15">
        <v>1563300</v>
      </c>
      <c r="J7" s="14" t="s">
        <v>12</v>
      </c>
      <c r="K7" s="20">
        <v>29</v>
      </c>
    </row>
    <row r="8" spans="1:11" x14ac:dyDescent="0.3">
      <c r="D8" s="14" t="s">
        <v>17</v>
      </c>
      <c r="E8" s="15">
        <v>645900</v>
      </c>
      <c r="G8" s="14" t="s">
        <v>7</v>
      </c>
      <c r="H8" s="15">
        <v>1590300</v>
      </c>
      <c r="J8" s="14" t="s">
        <v>17</v>
      </c>
      <c r="K8" s="20">
        <v>41</v>
      </c>
    </row>
    <row r="9" spans="1:11" x14ac:dyDescent="0.3">
      <c r="D9" s="14" t="s">
        <v>9</v>
      </c>
      <c r="E9" s="15">
        <v>341100</v>
      </c>
      <c r="G9" s="14" t="s">
        <v>15</v>
      </c>
      <c r="H9" s="15">
        <v>1906400</v>
      </c>
      <c r="J9" s="14" t="s">
        <v>9</v>
      </c>
      <c r="K9" s="20">
        <v>11</v>
      </c>
    </row>
    <row r="10" spans="1:11" x14ac:dyDescent="0.3">
      <c r="D10" s="14" t="s">
        <v>22</v>
      </c>
      <c r="E10" s="15">
        <v>784100</v>
      </c>
      <c r="G10" s="14" t="s">
        <v>32</v>
      </c>
      <c r="H10" s="15">
        <v>9526400</v>
      </c>
      <c r="J10" s="14" t="s">
        <v>22</v>
      </c>
      <c r="K10" s="20">
        <v>37</v>
      </c>
    </row>
    <row r="11" spans="1:11" x14ac:dyDescent="0.3">
      <c r="D11" s="14" t="s">
        <v>32</v>
      </c>
      <c r="E11" s="15">
        <v>9526400</v>
      </c>
      <c r="J11" s="14" t="s">
        <v>32</v>
      </c>
      <c r="K11" s="20">
        <v>271</v>
      </c>
    </row>
    <row r="30" spans="4:9" x14ac:dyDescent="0.3">
      <c r="D30" s="13" t="s">
        <v>31</v>
      </c>
      <c r="I30" s="18"/>
    </row>
    <row r="31" spans="4:9" x14ac:dyDescent="0.3">
      <c r="D31" s="14" t="s">
        <v>20</v>
      </c>
    </row>
    <row r="32" spans="4:9" x14ac:dyDescent="0.3">
      <c r="D32" s="14" t="s">
        <v>32</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F1FE5-D707-4DA8-B96C-08969894E59F}">
  <dimension ref="A1:V44"/>
  <sheetViews>
    <sheetView showGridLines="0" tabSelected="1" zoomScale="55" zoomScaleNormal="55" workbookViewId="0">
      <selection activeCell="Y36" sqref="Y36"/>
    </sheetView>
  </sheetViews>
  <sheetFormatPr defaultRowHeight="14" x14ac:dyDescent="0.3"/>
  <sheetData>
    <row r="1" spans="1:22" x14ac:dyDescent="0.3">
      <c r="A1" s="16"/>
      <c r="D1" s="16"/>
      <c r="E1" s="16"/>
      <c r="F1" s="16"/>
      <c r="G1" s="16"/>
      <c r="H1" s="16"/>
      <c r="I1" s="16"/>
      <c r="J1" s="16"/>
      <c r="K1" s="16"/>
      <c r="L1" s="16"/>
      <c r="M1" s="16"/>
      <c r="N1" s="16"/>
      <c r="O1" s="16"/>
      <c r="P1" s="16"/>
      <c r="Q1" s="16"/>
      <c r="R1" s="16"/>
      <c r="S1" s="16"/>
      <c r="T1" s="16"/>
      <c r="V1" s="17"/>
    </row>
    <row r="2" spans="1:22" x14ac:dyDescent="0.3">
      <c r="D2" s="16"/>
      <c r="E2" s="16"/>
      <c r="F2" s="16"/>
      <c r="G2" s="16"/>
      <c r="H2" s="16"/>
      <c r="I2" s="16"/>
      <c r="J2" s="16"/>
      <c r="K2" s="16"/>
      <c r="L2" s="16"/>
      <c r="M2" s="16"/>
      <c r="N2" s="16"/>
      <c r="O2" s="16"/>
      <c r="P2" s="16"/>
      <c r="Q2" s="16"/>
      <c r="R2" s="16"/>
      <c r="S2" s="16"/>
      <c r="T2" s="16"/>
      <c r="V2" s="16"/>
    </row>
    <row r="3" spans="1:22" x14ac:dyDescent="0.3">
      <c r="D3" s="16"/>
      <c r="E3" s="16"/>
      <c r="F3" s="16"/>
      <c r="G3" s="16"/>
      <c r="H3" s="16"/>
      <c r="I3" s="16"/>
      <c r="J3" s="16"/>
      <c r="K3" s="16"/>
      <c r="L3" s="16"/>
      <c r="M3" s="16"/>
      <c r="N3" s="16"/>
      <c r="O3" s="16"/>
      <c r="P3" s="16"/>
      <c r="Q3" s="16"/>
      <c r="R3" s="16"/>
      <c r="S3" s="16"/>
      <c r="T3" s="16"/>
      <c r="V3" s="16"/>
    </row>
    <row r="4" spans="1:22" x14ac:dyDescent="0.3">
      <c r="D4" s="16"/>
      <c r="E4" s="16"/>
      <c r="F4" s="16"/>
      <c r="G4" s="16"/>
      <c r="H4" s="16"/>
      <c r="I4" s="16"/>
      <c r="J4" s="16"/>
      <c r="K4" s="16"/>
      <c r="L4" s="16"/>
      <c r="M4" s="16"/>
      <c r="N4" s="16"/>
      <c r="O4" s="16"/>
      <c r="P4" s="16"/>
      <c r="Q4" s="16"/>
      <c r="R4" s="16"/>
      <c r="S4" s="16"/>
      <c r="T4" s="16"/>
      <c r="U4" s="16"/>
      <c r="V4" s="16"/>
    </row>
    <row r="5" spans="1:22" x14ac:dyDescent="0.3">
      <c r="A5" s="16"/>
      <c r="B5" s="16"/>
      <c r="C5" s="16"/>
      <c r="D5" s="16"/>
      <c r="E5" s="16"/>
      <c r="F5" s="16"/>
      <c r="G5" s="16"/>
      <c r="H5" s="16"/>
      <c r="I5" s="16"/>
      <c r="J5" s="16"/>
      <c r="K5" s="16"/>
      <c r="L5" s="16"/>
      <c r="M5" s="16"/>
      <c r="N5" s="16"/>
      <c r="O5" s="16"/>
      <c r="P5" s="16"/>
      <c r="Q5" s="16"/>
      <c r="R5" s="16"/>
      <c r="S5" s="16"/>
      <c r="T5" s="16"/>
      <c r="U5" s="16"/>
      <c r="V5" s="16"/>
    </row>
    <row r="6" spans="1:22" x14ac:dyDescent="0.3">
      <c r="A6" s="16"/>
      <c r="B6" s="16"/>
      <c r="C6" s="16"/>
      <c r="D6" s="16"/>
      <c r="E6" s="16"/>
      <c r="F6" s="16"/>
      <c r="G6" s="16"/>
      <c r="H6" s="16"/>
      <c r="I6" s="16"/>
      <c r="J6" s="16"/>
      <c r="K6" s="16"/>
      <c r="L6" s="16"/>
      <c r="M6" s="16"/>
      <c r="N6" s="16"/>
      <c r="O6" s="16"/>
      <c r="P6" s="16"/>
      <c r="Q6" s="16"/>
      <c r="R6" s="16"/>
      <c r="S6" s="16"/>
      <c r="T6" s="16"/>
      <c r="V6" s="16"/>
    </row>
    <row r="7" spans="1:22" x14ac:dyDescent="0.3">
      <c r="A7" s="16"/>
      <c r="B7" s="16"/>
      <c r="C7" s="16"/>
      <c r="D7" s="16"/>
      <c r="E7" s="16"/>
      <c r="F7" s="16"/>
      <c r="G7" s="16"/>
      <c r="H7" s="16"/>
      <c r="I7" s="16"/>
      <c r="J7" s="16"/>
      <c r="K7" s="16"/>
      <c r="L7" s="16"/>
      <c r="M7" s="16"/>
      <c r="N7" s="16"/>
      <c r="O7" s="16"/>
      <c r="P7" s="16"/>
      <c r="Q7" s="16"/>
      <c r="R7" s="16"/>
      <c r="S7" s="16"/>
      <c r="T7" s="16"/>
      <c r="V7" s="16" t="s">
        <v>35</v>
      </c>
    </row>
    <row r="8" spans="1:22" x14ac:dyDescent="0.3">
      <c r="A8" s="16"/>
      <c r="B8" s="16"/>
      <c r="C8" s="16"/>
      <c r="D8" s="16"/>
      <c r="E8" s="16"/>
      <c r="F8" s="16"/>
      <c r="G8" s="16"/>
      <c r="H8" s="16"/>
      <c r="I8" s="16"/>
      <c r="J8" s="16"/>
      <c r="K8" s="16"/>
      <c r="L8" s="16"/>
      <c r="M8" s="16"/>
      <c r="N8" s="16"/>
      <c r="O8" s="16"/>
      <c r="P8" s="16"/>
      <c r="Q8" s="16"/>
      <c r="R8" s="16"/>
      <c r="S8" s="16"/>
      <c r="T8" s="16"/>
      <c r="V8" s="16"/>
    </row>
    <row r="9" spans="1:22" x14ac:dyDescent="0.3">
      <c r="A9" s="16"/>
      <c r="B9" s="16"/>
      <c r="C9" s="16"/>
      <c r="D9" s="16"/>
      <c r="E9" s="16"/>
      <c r="F9" s="16"/>
      <c r="G9" s="16"/>
      <c r="H9" s="16"/>
      <c r="I9" s="16"/>
      <c r="J9" s="16"/>
      <c r="K9" s="16"/>
      <c r="L9" s="16"/>
      <c r="M9" s="16"/>
      <c r="N9" s="16"/>
      <c r="O9" s="16"/>
      <c r="P9" s="16"/>
      <c r="Q9" s="16"/>
      <c r="R9" s="16"/>
      <c r="S9" s="16"/>
      <c r="T9" s="16"/>
      <c r="V9" s="16"/>
    </row>
    <row r="10" spans="1:22" x14ac:dyDescent="0.3">
      <c r="A10" s="16"/>
      <c r="B10" s="16"/>
      <c r="C10" s="16"/>
      <c r="D10" s="16"/>
      <c r="E10" s="16"/>
      <c r="F10" s="16"/>
      <c r="G10" s="16"/>
      <c r="H10" s="16"/>
      <c r="I10" s="16"/>
      <c r="J10" s="16"/>
      <c r="K10" s="16"/>
      <c r="L10" s="16"/>
      <c r="M10" s="16"/>
      <c r="N10" s="16"/>
      <c r="O10" s="16"/>
      <c r="P10" s="16"/>
      <c r="Q10" s="16"/>
      <c r="R10" s="16"/>
      <c r="S10" s="16"/>
      <c r="T10" s="16"/>
      <c r="U10" s="16"/>
      <c r="V10" s="16"/>
    </row>
    <row r="11" spans="1:22" x14ac:dyDescent="0.3">
      <c r="A11" s="16"/>
      <c r="B11" s="16"/>
      <c r="C11" s="16"/>
      <c r="D11" s="16"/>
      <c r="E11" s="16"/>
      <c r="F11" s="16"/>
      <c r="G11" s="16"/>
      <c r="H11" s="16"/>
      <c r="I11" s="16"/>
      <c r="J11" s="16"/>
      <c r="K11" s="16"/>
      <c r="L11" s="16"/>
      <c r="M11" s="16"/>
      <c r="N11" s="16"/>
      <c r="O11" s="16"/>
      <c r="P11" s="16"/>
      <c r="Q11" s="16"/>
      <c r="R11" s="16"/>
      <c r="S11" s="16"/>
      <c r="T11" s="16"/>
      <c r="U11" s="16"/>
      <c r="V11" s="17"/>
    </row>
    <row r="12" spans="1:22" x14ac:dyDescent="0.3">
      <c r="C12" s="16"/>
      <c r="D12" s="16"/>
      <c r="E12" s="16"/>
      <c r="F12" s="16"/>
      <c r="G12" s="16"/>
      <c r="H12" s="16"/>
      <c r="I12" s="16"/>
      <c r="J12" s="16"/>
      <c r="K12" s="16"/>
      <c r="L12" s="16"/>
      <c r="M12" s="16"/>
      <c r="N12" s="16"/>
      <c r="O12" s="16"/>
      <c r="P12" s="16"/>
      <c r="Q12" s="16"/>
      <c r="R12" s="16"/>
      <c r="S12" s="16"/>
      <c r="T12" s="16"/>
      <c r="U12" s="16"/>
      <c r="V12" s="17"/>
    </row>
    <row r="13" spans="1:22" x14ac:dyDescent="0.3">
      <c r="C13" s="16"/>
      <c r="D13" s="16"/>
      <c r="E13" s="16"/>
      <c r="F13" s="16"/>
      <c r="G13" s="16"/>
      <c r="H13" s="16"/>
      <c r="I13" s="16"/>
      <c r="J13" s="16"/>
      <c r="K13" s="16"/>
      <c r="L13" s="16"/>
      <c r="M13" s="16"/>
      <c r="N13" s="16"/>
      <c r="O13" s="16"/>
      <c r="P13" s="16"/>
      <c r="Q13" s="16"/>
      <c r="R13" s="16"/>
      <c r="S13" s="16"/>
      <c r="T13" s="16"/>
      <c r="U13" s="16"/>
      <c r="V13" s="17"/>
    </row>
    <row r="14" spans="1:22" x14ac:dyDescent="0.3">
      <c r="C14" s="16"/>
      <c r="D14" s="16"/>
      <c r="E14" s="16"/>
      <c r="F14" s="16"/>
      <c r="G14" s="16"/>
      <c r="H14" s="16"/>
      <c r="I14" s="16"/>
      <c r="J14" s="16"/>
      <c r="K14" s="16"/>
      <c r="L14" s="16"/>
      <c r="M14" s="16"/>
      <c r="N14" s="16"/>
      <c r="O14" s="16"/>
      <c r="P14" s="16"/>
      <c r="Q14" s="16"/>
      <c r="R14" s="16"/>
      <c r="S14" s="16"/>
      <c r="T14" s="16"/>
      <c r="U14" s="16"/>
      <c r="V14" s="17"/>
    </row>
    <row r="15" spans="1:22" x14ac:dyDescent="0.3">
      <c r="C15" s="16"/>
      <c r="D15" s="16"/>
      <c r="E15" s="16"/>
      <c r="F15" s="16"/>
      <c r="G15" s="16"/>
      <c r="H15" s="16"/>
      <c r="I15" s="16"/>
      <c r="J15" s="16"/>
      <c r="K15" s="16"/>
      <c r="L15" s="16"/>
      <c r="M15" s="16"/>
      <c r="N15" s="16"/>
      <c r="O15" s="16"/>
      <c r="P15" s="16"/>
      <c r="Q15" s="16"/>
      <c r="R15" s="16"/>
      <c r="S15" s="16"/>
      <c r="T15" s="16"/>
      <c r="U15" s="16"/>
      <c r="V15" s="17"/>
    </row>
    <row r="16" spans="1:22" x14ac:dyDescent="0.3">
      <c r="C16" s="16"/>
      <c r="D16" s="16"/>
      <c r="E16" s="16"/>
      <c r="F16" s="16"/>
      <c r="G16" s="16"/>
      <c r="H16" s="16"/>
      <c r="I16" s="16"/>
      <c r="J16" s="16"/>
      <c r="K16" s="16"/>
      <c r="L16" s="16"/>
      <c r="M16" s="16"/>
      <c r="N16" s="16"/>
      <c r="O16" s="16"/>
      <c r="P16" s="16"/>
      <c r="Q16" s="16"/>
      <c r="R16" s="16"/>
      <c r="S16" s="16"/>
      <c r="T16" s="16"/>
      <c r="U16" s="16"/>
      <c r="V16" s="17"/>
    </row>
    <row r="17" spans="1:22" x14ac:dyDescent="0.3">
      <c r="C17" s="16"/>
      <c r="D17" s="16"/>
      <c r="E17" s="16"/>
      <c r="F17" s="16"/>
      <c r="G17" s="16"/>
      <c r="H17" s="16"/>
      <c r="I17" s="16"/>
      <c r="J17" s="16"/>
      <c r="K17" s="16"/>
      <c r="L17" s="16"/>
      <c r="M17" s="16"/>
      <c r="N17" s="16"/>
      <c r="O17" s="16"/>
      <c r="P17" s="16"/>
      <c r="Q17" s="16"/>
      <c r="R17" s="16"/>
      <c r="S17" s="16"/>
      <c r="T17" s="16"/>
      <c r="U17" s="16"/>
      <c r="V17" s="17"/>
    </row>
    <row r="18" spans="1:22" x14ac:dyDescent="0.3">
      <c r="C18" s="16"/>
      <c r="D18" s="16"/>
      <c r="E18" s="16"/>
      <c r="F18" s="16"/>
      <c r="G18" s="16"/>
      <c r="H18" s="16"/>
      <c r="I18" s="16"/>
      <c r="J18" s="16"/>
      <c r="K18" s="16"/>
      <c r="L18" s="16"/>
      <c r="M18" s="16"/>
      <c r="N18" s="16"/>
      <c r="O18" s="16"/>
      <c r="P18" s="16"/>
      <c r="Q18" s="16"/>
      <c r="R18" s="16"/>
      <c r="S18" s="16"/>
      <c r="T18" s="16"/>
      <c r="U18" s="16"/>
      <c r="V18" s="17"/>
    </row>
    <row r="19" spans="1:22" x14ac:dyDescent="0.3">
      <c r="A19" s="16"/>
      <c r="B19" s="16"/>
      <c r="C19" s="16"/>
      <c r="D19" s="16"/>
      <c r="E19" s="16"/>
      <c r="F19" s="16"/>
      <c r="G19" s="16"/>
      <c r="H19" s="16"/>
      <c r="I19" s="16"/>
      <c r="J19" s="16"/>
      <c r="K19" s="16"/>
      <c r="L19" s="16"/>
      <c r="M19" s="16"/>
      <c r="N19" s="16"/>
      <c r="O19" s="16"/>
      <c r="P19" s="16"/>
      <c r="Q19" s="16"/>
      <c r="R19" s="16"/>
      <c r="S19" s="16"/>
      <c r="T19" s="16"/>
      <c r="U19" s="16"/>
      <c r="V19" s="17"/>
    </row>
    <row r="20" spans="1:22" x14ac:dyDescent="0.3">
      <c r="A20" s="16"/>
      <c r="B20" s="16"/>
      <c r="C20" s="16"/>
      <c r="D20" s="16"/>
      <c r="E20" s="16"/>
      <c r="F20" s="16"/>
      <c r="G20" s="16"/>
      <c r="H20" s="16"/>
      <c r="I20" s="16"/>
      <c r="J20" s="16"/>
      <c r="K20" s="16"/>
      <c r="L20" s="16"/>
      <c r="M20" s="16"/>
      <c r="N20" s="16"/>
      <c r="O20" s="16"/>
      <c r="P20" s="16"/>
      <c r="Q20" s="16"/>
      <c r="R20" s="16"/>
      <c r="S20" s="16"/>
      <c r="T20" s="16"/>
      <c r="U20" s="16"/>
      <c r="V20" s="17"/>
    </row>
    <row r="21" spans="1:22" x14ac:dyDescent="0.3">
      <c r="A21" s="16"/>
      <c r="B21" s="16"/>
      <c r="C21" s="16"/>
      <c r="D21" s="16"/>
      <c r="E21" s="16"/>
      <c r="F21" s="16"/>
      <c r="G21" s="16"/>
      <c r="H21" s="16"/>
      <c r="I21" s="16"/>
      <c r="J21" s="16"/>
      <c r="K21" s="16"/>
      <c r="L21" s="16"/>
      <c r="M21" s="16"/>
      <c r="N21" s="16"/>
      <c r="O21" s="16"/>
      <c r="P21" s="16"/>
      <c r="Q21" s="16"/>
      <c r="R21" s="16"/>
      <c r="S21" s="16"/>
      <c r="T21" s="16"/>
      <c r="U21" s="16"/>
      <c r="V21" s="17"/>
    </row>
    <row r="22" spans="1:22" x14ac:dyDescent="0.3">
      <c r="A22" s="16"/>
      <c r="B22" s="16"/>
      <c r="C22" s="16"/>
      <c r="D22" s="16"/>
      <c r="E22" s="16"/>
      <c r="F22" s="16"/>
      <c r="G22" s="16"/>
      <c r="H22" s="16"/>
      <c r="I22" s="16"/>
      <c r="J22" s="16"/>
      <c r="K22" s="16"/>
      <c r="L22" s="16"/>
      <c r="M22" s="16"/>
      <c r="N22" s="16"/>
      <c r="O22" s="16"/>
      <c r="P22" s="16"/>
      <c r="Q22" s="16"/>
      <c r="R22" s="16"/>
      <c r="S22" s="16"/>
      <c r="T22" s="16"/>
      <c r="U22" s="16"/>
      <c r="V22" s="17"/>
    </row>
    <row r="23" spans="1:22" x14ac:dyDescent="0.3">
      <c r="A23" s="16"/>
      <c r="B23" s="16"/>
      <c r="C23" s="16"/>
      <c r="D23" s="16"/>
      <c r="E23" s="16"/>
      <c r="F23" s="16"/>
      <c r="G23" s="16"/>
      <c r="H23" s="16"/>
      <c r="I23" s="16"/>
      <c r="J23" s="16"/>
      <c r="K23" s="16"/>
      <c r="L23" s="16"/>
      <c r="M23" s="16"/>
      <c r="N23" s="16"/>
      <c r="O23" s="16"/>
      <c r="P23" s="16"/>
      <c r="Q23" s="16"/>
      <c r="R23" s="16"/>
      <c r="S23" s="16"/>
      <c r="T23" s="16"/>
      <c r="U23" s="16"/>
      <c r="V23" s="17"/>
    </row>
    <row r="24" spans="1:22" x14ac:dyDescent="0.3">
      <c r="A24" s="16"/>
      <c r="B24" s="16"/>
      <c r="C24" s="16"/>
      <c r="D24" s="16"/>
      <c r="E24" s="16"/>
      <c r="F24" s="16"/>
      <c r="G24" s="16"/>
      <c r="H24" s="16"/>
      <c r="I24" s="16"/>
      <c r="J24" s="16"/>
      <c r="K24" s="16"/>
      <c r="L24" s="16"/>
      <c r="M24" s="16"/>
      <c r="N24" s="16"/>
      <c r="O24" s="16"/>
      <c r="P24" s="16"/>
      <c r="Q24" s="16"/>
      <c r="R24" s="16"/>
      <c r="S24" s="16"/>
      <c r="T24" s="16"/>
      <c r="U24" s="16"/>
      <c r="V24" s="17"/>
    </row>
    <row r="25" spans="1:22" x14ac:dyDescent="0.3">
      <c r="A25" s="16"/>
      <c r="B25" s="16"/>
      <c r="C25" s="16"/>
      <c r="D25" s="16"/>
      <c r="E25" s="16"/>
      <c r="F25" s="16"/>
      <c r="G25" s="16"/>
      <c r="H25" s="16"/>
      <c r="I25" s="16"/>
      <c r="J25" s="16"/>
      <c r="K25" s="16"/>
      <c r="L25" s="16"/>
      <c r="M25" s="16"/>
      <c r="N25" s="16"/>
      <c r="O25" s="16"/>
      <c r="P25" s="16"/>
      <c r="Q25" s="16"/>
      <c r="R25" s="16"/>
      <c r="S25" s="16"/>
      <c r="T25" s="16"/>
      <c r="U25" s="16"/>
      <c r="V25" s="17"/>
    </row>
    <row r="26" spans="1:22" x14ac:dyDescent="0.3">
      <c r="A26" s="16"/>
      <c r="B26" s="16"/>
      <c r="C26" s="16"/>
      <c r="D26" s="16"/>
      <c r="E26" s="16"/>
      <c r="F26" s="16"/>
      <c r="G26" s="16"/>
      <c r="H26" s="16"/>
      <c r="I26" s="16"/>
      <c r="J26" s="16"/>
      <c r="K26" s="16"/>
      <c r="L26" s="16"/>
      <c r="M26" s="16"/>
      <c r="N26" s="16"/>
      <c r="O26" s="16"/>
      <c r="P26" s="16"/>
      <c r="Q26" s="16"/>
      <c r="R26" s="16"/>
      <c r="S26" s="16"/>
      <c r="T26" s="16"/>
      <c r="U26" s="16"/>
      <c r="V26" s="17"/>
    </row>
    <row r="27" spans="1:22" x14ac:dyDescent="0.3">
      <c r="A27" s="16"/>
      <c r="B27" s="16"/>
      <c r="C27" s="16"/>
      <c r="D27" s="16"/>
      <c r="E27" s="16"/>
      <c r="F27" s="16"/>
      <c r="G27" s="16"/>
      <c r="H27" s="16"/>
      <c r="I27" s="16"/>
      <c r="J27" s="16"/>
      <c r="K27" s="16"/>
      <c r="L27" s="16"/>
      <c r="M27" s="16"/>
      <c r="N27" s="16"/>
      <c r="O27" s="16"/>
      <c r="P27" s="16"/>
      <c r="Q27" s="16"/>
      <c r="R27" s="16"/>
      <c r="S27" s="16"/>
      <c r="T27" s="16"/>
      <c r="U27" s="16"/>
      <c r="V27" s="17"/>
    </row>
    <row r="28" spans="1:22" x14ac:dyDescent="0.3">
      <c r="A28" s="16"/>
      <c r="B28" s="16"/>
      <c r="C28" s="16"/>
      <c r="D28" s="16"/>
      <c r="E28" s="16"/>
      <c r="F28" s="16"/>
      <c r="G28" s="16"/>
      <c r="H28" s="16"/>
      <c r="I28" s="16"/>
      <c r="J28" s="16"/>
      <c r="K28" s="16"/>
      <c r="L28" s="16"/>
      <c r="M28" s="16"/>
      <c r="N28" s="16"/>
      <c r="O28" s="16"/>
      <c r="P28" s="16"/>
      <c r="Q28" s="16"/>
      <c r="R28" s="16"/>
      <c r="S28" s="16"/>
      <c r="T28" s="16"/>
      <c r="U28" s="16"/>
      <c r="V28" s="17"/>
    </row>
    <row r="29" spans="1:22" x14ac:dyDescent="0.3">
      <c r="A29" s="16"/>
      <c r="B29" s="16"/>
      <c r="C29" s="16"/>
      <c r="D29" s="16"/>
      <c r="E29" s="16"/>
      <c r="F29" s="16"/>
      <c r="G29" s="16"/>
      <c r="H29" s="16"/>
      <c r="I29" s="16"/>
      <c r="J29" s="16"/>
      <c r="K29" s="16"/>
      <c r="L29" s="16"/>
      <c r="M29" s="16"/>
      <c r="N29" s="16"/>
      <c r="O29" s="16"/>
      <c r="P29" s="16"/>
      <c r="Q29" s="16"/>
      <c r="R29" s="16"/>
      <c r="S29" s="16"/>
      <c r="T29" s="16"/>
      <c r="U29" s="16"/>
      <c r="V29" s="16"/>
    </row>
    <row r="30" spans="1:22" x14ac:dyDescent="0.3">
      <c r="A30" s="16"/>
      <c r="B30" s="16"/>
      <c r="C30" s="16"/>
      <c r="D30" s="16"/>
      <c r="E30" s="16"/>
      <c r="F30" s="16"/>
      <c r="G30" s="16"/>
      <c r="H30" s="16"/>
      <c r="I30" s="16"/>
      <c r="J30" s="16"/>
      <c r="K30" s="16"/>
      <c r="L30" s="16"/>
      <c r="M30" s="16"/>
      <c r="N30" s="16"/>
      <c r="O30" s="16"/>
      <c r="P30" s="16"/>
      <c r="Q30" s="16"/>
      <c r="R30" s="16"/>
      <c r="S30" s="16"/>
      <c r="T30" s="16"/>
      <c r="U30" s="16"/>
      <c r="V30" s="16"/>
    </row>
    <row r="31" spans="1:22" x14ac:dyDescent="0.3">
      <c r="A31" s="16"/>
      <c r="B31" s="16"/>
      <c r="C31" s="16"/>
      <c r="D31" s="16"/>
      <c r="E31" s="16"/>
      <c r="F31" s="16"/>
      <c r="G31" s="16"/>
      <c r="H31" s="16"/>
      <c r="I31" s="16"/>
      <c r="J31" s="16"/>
      <c r="K31" s="16"/>
      <c r="L31" s="16"/>
      <c r="M31" s="16"/>
      <c r="N31" s="16"/>
      <c r="O31" s="16"/>
      <c r="P31" s="16"/>
      <c r="Q31" s="16"/>
      <c r="R31" s="16"/>
      <c r="S31" s="16"/>
      <c r="T31" s="16"/>
      <c r="U31" s="16"/>
      <c r="V31" s="16"/>
    </row>
    <row r="32" spans="1:22" x14ac:dyDescent="0.3">
      <c r="A32" s="16"/>
      <c r="B32" s="16"/>
      <c r="C32" s="16"/>
      <c r="D32" s="16"/>
      <c r="E32" s="16"/>
      <c r="F32" s="16"/>
      <c r="G32" s="16"/>
      <c r="H32" s="16"/>
      <c r="I32" s="16"/>
      <c r="J32" s="16"/>
      <c r="K32" s="16"/>
      <c r="L32" s="16"/>
      <c r="M32" s="16"/>
      <c r="N32" s="16"/>
      <c r="O32" s="16"/>
      <c r="P32" s="16"/>
      <c r="Q32" s="16"/>
      <c r="R32" s="16"/>
      <c r="S32" s="16"/>
      <c r="T32" s="16"/>
      <c r="U32" s="16"/>
      <c r="V32" s="16"/>
    </row>
    <row r="33" spans="1:22" x14ac:dyDescent="0.3">
      <c r="A33" s="16"/>
      <c r="B33" s="16"/>
      <c r="C33" s="16"/>
      <c r="D33" s="16"/>
      <c r="E33" s="16"/>
      <c r="F33" s="16"/>
      <c r="G33" s="16"/>
      <c r="H33" s="16"/>
      <c r="I33" s="16"/>
      <c r="J33" s="16"/>
      <c r="K33" s="16"/>
      <c r="L33" s="16"/>
      <c r="M33" s="16"/>
      <c r="N33" s="16"/>
      <c r="O33" s="16"/>
      <c r="P33" s="16"/>
      <c r="Q33" s="16"/>
      <c r="R33" s="16"/>
      <c r="S33" s="16"/>
      <c r="T33" s="16"/>
      <c r="U33" s="16"/>
      <c r="V33" s="16"/>
    </row>
    <row r="34" spans="1:22" x14ac:dyDescent="0.3">
      <c r="A34" s="16"/>
      <c r="B34" s="16"/>
      <c r="C34" s="16"/>
      <c r="D34" s="16"/>
      <c r="E34" s="16"/>
      <c r="F34" s="16"/>
      <c r="G34" s="16"/>
      <c r="H34" s="16"/>
      <c r="I34" s="16"/>
      <c r="J34" s="16"/>
      <c r="K34" s="16"/>
      <c r="L34" s="16"/>
      <c r="M34" s="16"/>
      <c r="N34" s="16"/>
      <c r="O34" s="16"/>
      <c r="P34" s="16"/>
      <c r="Q34" s="16"/>
      <c r="R34" s="16"/>
      <c r="S34" s="16"/>
      <c r="T34" s="16"/>
      <c r="U34" s="16"/>
      <c r="V34" s="17"/>
    </row>
    <row r="35" spans="1:22" x14ac:dyDescent="0.3">
      <c r="A35" s="16"/>
      <c r="B35" s="16"/>
      <c r="C35" s="16"/>
      <c r="D35" s="16"/>
      <c r="E35" s="16"/>
      <c r="F35" s="16"/>
      <c r="G35" s="16"/>
      <c r="H35" s="16"/>
      <c r="I35" s="16"/>
      <c r="J35" s="16"/>
      <c r="K35" s="16"/>
      <c r="L35" s="16"/>
      <c r="M35" s="16"/>
      <c r="N35" s="16"/>
      <c r="O35" s="16"/>
      <c r="P35" s="16"/>
      <c r="Q35" s="16"/>
      <c r="R35" s="16"/>
      <c r="S35" s="16"/>
      <c r="T35" s="16"/>
      <c r="U35" s="16"/>
      <c r="V35" s="17"/>
    </row>
    <row r="36" spans="1:22" x14ac:dyDescent="0.3">
      <c r="A36" s="16"/>
      <c r="B36" s="16"/>
      <c r="C36" s="16"/>
      <c r="D36" s="16"/>
      <c r="E36" s="16"/>
      <c r="F36" s="16"/>
      <c r="G36" s="16"/>
      <c r="H36" s="16"/>
      <c r="I36" s="16"/>
      <c r="J36" s="16"/>
      <c r="K36" s="16"/>
      <c r="L36" s="16"/>
      <c r="M36" s="16"/>
      <c r="N36" s="16"/>
      <c r="O36" s="16"/>
      <c r="P36" s="16"/>
      <c r="Q36" s="16"/>
      <c r="R36" s="16"/>
      <c r="S36" s="16"/>
      <c r="T36" s="16"/>
      <c r="U36" s="16"/>
      <c r="V36" s="17"/>
    </row>
    <row r="37" spans="1:22" x14ac:dyDescent="0.3">
      <c r="A37" s="16"/>
      <c r="B37" s="16"/>
      <c r="C37" s="16"/>
      <c r="D37" s="16"/>
      <c r="E37" s="16"/>
      <c r="F37" s="16"/>
      <c r="G37" s="16"/>
      <c r="H37" s="16"/>
      <c r="I37" s="16"/>
      <c r="J37" s="16"/>
      <c r="K37" s="16"/>
      <c r="L37" s="16"/>
      <c r="M37" s="16"/>
      <c r="N37" s="16"/>
      <c r="O37" s="16"/>
      <c r="P37" s="16"/>
      <c r="Q37" s="16"/>
      <c r="R37" s="16"/>
      <c r="S37" s="16"/>
      <c r="T37" s="16"/>
      <c r="U37" s="16"/>
      <c r="V37" s="17"/>
    </row>
    <row r="38" spans="1:22" x14ac:dyDescent="0.3">
      <c r="A38" s="16"/>
      <c r="B38" s="16"/>
      <c r="C38" s="16"/>
      <c r="D38" s="16"/>
      <c r="E38" s="16"/>
      <c r="F38" s="16"/>
      <c r="G38" s="16"/>
      <c r="H38" s="16"/>
      <c r="I38" s="16"/>
      <c r="J38" s="16"/>
      <c r="K38" s="16"/>
      <c r="L38" s="16"/>
      <c r="M38" s="16"/>
      <c r="N38" s="16"/>
      <c r="O38" s="16"/>
      <c r="P38" s="16"/>
      <c r="Q38" s="16"/>
      <c r="R38" s="16"/>
      <c r="S38" s="16"/>
      <c r="T38" s="16"/>
      <c r="U38" s="16"/>
      <c r="V38" s="17"/>
    </row>
    <row r="39" spans="1:22" x14ac:dyDescent="0.3">
      <c r="A39" s="16"/>
      <c r="B39" s="16"/>
      <c r="C39" s="16"/>
      <c r="D39" s="16"/>
      <c r="E39" s="16"/>
      <c r="F39" s="16"/>
      <c r="G39" s="16"/>
      <c r="H39" s="16"/>
      <c r="I39" s="16"/>
      <c r="J39" s="16"/>
      <c r="K39" s="16"/>
      <c r="L39" s="16"/>
      <c r="M39" s="16"/>
      <c r="N39" s="16"/>
      <c r="O39" s="16"/>
      <c r="P39" s="16"/>
      <c r="Q39" s="16"/>
      <c r="R39" s="16"/>
      <c r="S39" s="16"/>
      <c r="T39" s="16"/>
      <c r="U39" s="16"/>
      <c r="V39" s="17"/>
    </row>
    <row r="40" spans="1:22" x14ac:dyDescent="0.3">
      <c r="A40" s="16"/>
      <c r="B40" s="16"/>
      <c r="C40" s="16"/>
      <c r="D40" s="16"/>
      <c r="E40" s="16"/>
      <c r="F40" s="16"/>
      <c r="G40" s="16"/>
      <c r="H40" s="16"/>
      <c r="I40" s="16"/>
      <c r="J40" s="16"/>
      <c r="K40" s="16"/>
      <c r="L40" s="16"/>
      <c r="M40" s="16"/>
      <c r="N40" s="16"/>
      <c r="O40" s="16"/>
      <c r="P40" s="16"/>
      <c r="Q40" s="16"/>
      <c r="R40" s="16"/>
      <c r="S40" s="16"/>
      <c r="T40" s="16"/>
      <c r="U40" s="16"/>
      <c r="V40" s="17"/>
    </row>
    <row r="41" spans="1:22" x14ac:dyDescent="0.3">
      <c r="A41" s="16"/>
      <c r="B41" s="16"/>
      <c r="C41" s="16"/>
      <c r="D41" s="16"/>
      <c r="E41" s="16"/>
      <c r="F41" s="16"/>
      <c r="G41" s="16"/>
      <c r="H41" s="16"/>
      <c r="I41" s="16"/>
      <c r="J41" s="16"/>
      <c r="K41" s="16"/>
      <c r="L41" s="16"/>
      <c r="M41" s="16"/>
      <c r="N41" s="16"/>
      <c r="O41" s="16"/>
      <c r="P41" s="16"/>
      <c r="Q41" s="16"/>
      <c r="R41" s="16"/>
      <c r="S41" s="16"/>
      <c r="T41" s="16"/>
      <c r="U41" s="16"/>
      <c r="V41" s="17"/>
    </row>
    <row r="42" spans="1:22" x14ac:dyDescent="0.3">
      <c r="A42" s="16"/>
      <c r="B42" s="16"/>
      <c r="C42" s="16"/>
      <c r="D42" s="16"/>
      <c r="E42" s="16"/>
      <c r="F42" s="16"/>
      <c r="G42" s="16"/>
      <c r="H42" s="16"/>
      <c r="I42" s="16"/>
      <c r="J42" s="16"/>
      <c r="K42" s="16"/>
      <c r="L42" s="16"/>
      <c r="M42" s="16"/>
      <c r="N42" s="16"/>
      <c r="O42" s="16"/>
      <c r="P42" s="16"/>
      <c r="Q42" s="16"/>
      <c r="R42" s="16"/>
      <c r="S42" s="16"/>
      <c r="T42" s="16"/>
      <c r="U42" s="16"/>
      <c r="V42" s="17"/>
    </row>
    <row r="43" spans="1:22" x14ac:dyDescent="0.3">
      <c r="A43" s="16"/>
      <c r="B43" s="16"/>
      <c r="C43" s="16"/>
      <c r="D43" s="16"/>
      <c r="E43" s="16"/>
      <c r="F43" s="16"/>
      <c r="G43" s="16"/>
      <c r="H43" s="16"/>
      <c r="I43" s="16"/>
      <c r="J43" s="16"/>
      <c r="K43" s="16"/>
      <c r="L43" s="16"/>
      <c r="M43" s="16"/>
      <c r="N43" s="16"/>
      <c r="O43" s="16"/>
      <c r="P43" s="16"/>
      <c r="Q43" s="16"/>
      <c r="R43" s="16"/>
      <c r="S43" s="16"/>
      <c r="T43" s="16"/>
      <c r="U43" s="16"/>
      <c r="V43" s="17"/>
    </row>
    <row r="44" spans="1:22" x14ac:dyDescent="0.3">
      <c r="A44" s="16"/>
      <c r="B44" s="16"/>
      <c r="C44" s="16"/>
      <c r="D44" s="16"/>
      <c r="E44" s="16"/>
      <c r="F44" s="16"/>
      <c r="G44" s="16"/>
      <c r="H44" s="16"/>
      <c r="I44" s="16"/>
      <c r="J44" s="16"/>
      <c r="K44" s="16"/>
      <c r="L44" s="16"/>
      <c r="M44" s="16"/>
      <c r="N44" s="16"/>
      <c r="O44" s="16"/>
      <c r="P44" s="16"/>
      <c r="Q44" s="16"/>
      <c r="R44" s="16"/>
      <c r="S44" s="16"/>
      <c r="T44" s="16"/>
      <c r="U44" s="16"/>
      <c r="V44" s="16"/>
    </row>
  </sheetData>
  <conditionalFormatting sqref="AC29">
    <cfRule type="dataBar" priority="1">
      <dataBar>
        <cfvo type="min"/>
        <cfvo type="max"/>
        <color rgb="FF638EC6"/>
      </dataBar>
      <extLst>
        <ext xmlns:x14="http://schemas.microsoft.com/office/spreadsheetml/2009/9/main" uri="{B025F937-C7B1-47D3-B67F-A62EFF666E3E}">
          <x14:id>{613B5ACB-D691-4F83-9F79-6CAB49F19644}</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613B5ACB-D691-4F83-9F79-6CAB49F19644}">
            <x14:dataBar minLength="0" maxLength="100" border="1" negativeBarBorderColorSameAsPositive="0">
              <x14:cfvo type="autoMin"/>
              <x14:cfvo type="autoMax"/>
              <x14:borderColor rgb="FF638EC6"/>
              <x14:negativeFillColor rgb="FFFF0000"/>
              <x14:negativeBorderColor rgb="FFFF0000"/>
              <x14:axisColor rgb="FF000000"/>
            </x14:dataBar>
          </x14:cfRule>
          <xm:sqref>AC29</xm:sqref>
        </x14:conditionalFormatting>
      </x14:conditionalFormattings>
    </ex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9BA53-1DBA-46A4-A3FC-057117854DB2}">
  <dimension ref="A1:P164"/>
  <sheetViews>
    <sheetView topLeftCell="C1" zoomScale="70" zoomScaleNormal="100" workbookViewId="0">
      <selection activeCell="K78" sqref="K78:K164"/>
    </sheetView>
  </sheetViews>
  <sheetFormatPr defaultRowHeight="14" x14ac:dyDescent="0.3"/>
  <cols>
    <col min="1" max="1" width="10" customWidth="1"/>
    <col min="2" max="2" width="12.75" customWidth="1"/>
    <col min="3" max="3" width="8.4140625" customWidth="1"/>
    <col min="4" max="4" width="9.4140625" customWidth="1"/>
    <col min="5" max="5" width="12.58203125" customWidth="1"/>
    <col min="6" max="6" width="12.6640625" customWidth="1"/>
    <col min="7" max="7" width="14.1640625" customWidth="1"/>
    <col min="8" max="8" width="16.58203125" customWidth="1"/>
    <col min="9" max="9" width="11.6640625" customWidth="1"/>
    <col min="10" max="10" width="10.75" customWidth="1"/>
    <col min="11" max="11" width="9.25" customWidth="1"/>
    <col min="13" max="13" width="14.25" customWidth="1"/>
    <col min="16" max="16" width="14.4140625" customWidth="1"/>
  </cols>
  <sheetData>
    <row r="1" spans="1:13" x14ac:dyDescent="0.3">
      <c r="A1" s="7" t="s">
        <v>0</v>
      </c>
      <c r="B1" s="8" t="s">
        <v>4</v>
      </c>
      <c r="C1" s="8" t="s">
        <v>1</v>
      </c>
      <c r="D1" s="8" t="s">
        <v>2</v>
      </c>
      <c r="E1" s="8" t="s">
        <v>28</v>
      </c>
      <c r="F1" s="8" t="s">
        <v>3</v>
      </c>
      <c r="G1" s="9" t="s">
        <v>29</v>
      </c>
      <c r="H1" s="8" t="s">
        <v>30</v>
      </c>
      <c r="I1" s="8" t="s">
        <v>27</v>
      </c>
      <c r="M1" s="3" t="s">
        <v>23</v>
      </c>
    </row>
    <row r="2" spans="1:13" hidden="1" x14ac:dyDescent="0.3">
      <c r="A2" s="1">
        <v>44980</v>
      </c>
      <c r="B2" t="s">
        <v>7</v>
      </c>
      <c r="C2" t="s">
        <v>5</v>
      </c>
      <c r="D2" t="s">
        <v>6</v>
      </c>
      <c r="E2">
        <v>24</v>
      </c>
      <c r="F2" s="4">
        <v>100100</v>
      </c>
      <c r="G2" s="5">
        <v>70070</v>
      </c>
      <c r="H2" s="2">
        <f>E2*F2</f>
        <v>2402400</v>
      </c>
      <c r="I2" s="2">
        <f>H2-(G2*E2)</f>
        <v>720720</v>
      </c>
      <c r="M2" s="2">
        <f>SUM(H2:H100)</f>
        <v>30246800</v>
      </c>
    </row>
    <row r="3" spans="1:13" x14ac:dyDescent="0.3">
      <c r="A3" s="1">
        <v>45645</v>
      </c>
      <c r="B3" t="s">
        <v>10</v>
      </c>
      <c r="C3" s="19" t="s">
        <v>8</v>
      </c>
      <c r="D3" t="s">
        <v>9</v>
      </c>
      <c r="E3">
        <v>75</v>
      </c>
      <c r="F3" s="4">
        <v>15500</v>
      </c>
      <c r="G3" s="2">
        <v>10075</v>
      </c>
      <c r="H3" s="2">
        <f>E3*F3</f>
        <v>1162500</v>
      </c>
      <c r="I3" s="2">
        <f t="shared" ref="I3:I66" si="0">H3-(G3*E3)</f>
        <v>406875</v>
      </c>
      <c r="M3" t="s">
        <v>26</v>
      </c>
    </row>
    <row r="4" spans="1:13" hidden="1" x14ac:dyDescent="0.3">
      <c r="A4" s="1">
        <v>45056</v>
      </c>
      <c r="B4" t="s">
        <v>10</v>
      </c>
      <c r="C4" t="s">
        <v>11</v>
      </c>
      <c r="D4" t="s">
        <v>12</v>
      </c>
      <c r="E4">
        <v>14</v>
      </c>
      <c r="F4" s="4">
        <v>3500</v>
      </c>
      <c r="G4" s="2">
        <v>1925</v>
      </c>
      <c r="H4" s="2">
        <f t="shared" ref="H4:H66" si="1">E4*F4</f>
        <v>49000</v>
      </c>
      <c r="I4" s="2">
        <f t="shared" si="0"/>
        <v>22050</v>
      </c>
      <c r="M4">
        <f>SUM(E2:E100)</f>
        <v>1133</v>
      </c>
    </row>
    <row r="5" spans="1:13" hidden="1" x14ac:dyDescent="0.3">
      <c r="A5" s="1">
        <v>45714</v>
      </c>
      <c r="B5" t="s">
        <v>15</v>
      </c>
      <c r="C5" t="s">
        <v>13</v>
      </c>
      <c r="D5" t="s">
        <v>14</v>
      </c>
      <c r="E5">
        <v>18</v>
      </c>
      <c r="F5" s="4">
        <v>600</v>
      </c>
      <c r="G5" s="2">
        <v>300</v>
      </c>
      <c r="H5" s="2">
        <f t="shared" si="1"/>
        <v>10800</v>
      </c>
      <c r="I5" s="2">
        <f t="shared" si="0"/>
        <v>5400</v>
      </c>
      <c r="M5" t="s">
        <v>24</v>
      </c>
    </row>
    <row r="6" spans="1:13" hidden="1" x14ac:dyDescent="0.3">
      <c r="A6" s="1">
        <v>45101</v>
      </c>
      <c r="B6" t="s">
        <v>16</v>
      </c>
      <c r="C6" t="s">
        <v>5</v>
      </c>
      <c r="D6" t="s">
        <v>12</v>
      </c>
      <c r="E6">
        <v>18</v>
      </c>
      <c r="F6" s="4">
        <v>3500</v>
      </c>
      <c r="G6" s="2">
        <v>1925</v>
      </c>
      <c r="H6" s="2">
        <f t="shared" si="1"/>
        <v>63000</v>
      </c>
      <c r="I6" s="2">
        <f t="shared" si="0"/>
        <v>28350</v>
      </c>
      <c r="M6" s="2">
        <f>SUM(I2:I100)</f>
        <v>10402675</v>
      </c>
    </row>
    <row r="7" spans="1:13" hidden="1" x14ac:dyDescent="0.3">
      <c r="A7" s="1">
        <v>45342</v>
      </c>
      <c r="B7" t="s">
        <v>18</v>
      </c>
      <c r="C7" t="s">
        <v>13</v>
      </c>
      <c r="D7" t="s">
        <v>17</v>
      </c>
      <c r="E7">
        <v>6</v>
      </c>
      <c r="F7" s="4">
        <v>8000</v>
      </c>
      <c r="G7" s="2">
        <v>5200</v>
      </c>
      <c r="H7" s="2">
        <f t="shared" si="1"/>
        <v>48000</v>
      </c>
      <c r="I7" s="2">
        <f t="shared" si="0"/>
        <v>16800</v>
      </c>
      <c r="M7" t="s">
        <v>25</v>
      </c>
    </row>
    <row r="8" spans="1:13" x14ac:dyDescent="0.3">
      <c r="A8" s="1">
        <v>44937</v>
      </c>
      <c r="B8" t="s">
        <v>10</v>
      </c>
      <c r="C8" s="19" t="s">
        <v>8</v>
      </c>
      <c r="D8" t="s">
        <v>14</v>
      </c>
      <c r="E8">
        <v>7</v>
      </c>
      <c r="F8" s="4">
        <v>500</v>
      </c>
      <c r="G8" s="2">
        <v>250</v>
      </c>
      <c r="H8" s="2">
        <f>E8*F8</f>
        <v>3500</v>
      </c>
      <c r="I8" s="2">
        <f t="shared" si="0"/>
        <v>1750</v>
      </c>
      <c r="M8" s="2">
        <f>AVERAGE(H2:H100)</f>
        <v>305523.23232323234</v>
      </c>
    </row>
    <row r="9" spans="1:13" hidden="1" x14ac:dyDescent="0.3">
      <c r="A9" s="1">
        <v>44935</v>
      </c>
      <c r="B9" t="s">
        <v>16</v>
      </c>
      <c r="C9" t="s">
        <v>13</v>
      </c>
      <c r="D9" t="s">
        <v>14</v>
      </c>
      <c r="E9">
        <v>3</v>
      </c>
      <c r="F9" s="4">
        <v>300</v>
      </c>
      <c r="G9" s="2">
        <v>150</v>
      </c>
      <c r="H9" s="2">
        <f t="shared" si="1"/>
        <v>900</v>
      </c>
      <c r="I9" s="2">
        <f t="shared" si="0"/>
        <v>450</v>
      </c>
    </row>
    <row r="10" spans="1:13" x14ac:dyDescent="0.3">
      <c r="A10" s="1">
        <v>45581</v>
      </c>
      <c r="B10" t="s">
        <v>19</v>
      </c>
      <c r="C10" s="19" t="s">
        <v>8</v>
      </c>
      <c r="D10" t="s">
        <v>14</v>
      </c>
      <c r="E10">
        <v>3</v>
      </c>
      <c r="F10" s="4">
        <v>400</v>
      </c>
      <c r="G10" s="2">
        <v>200</v>
      </c>
      <c r="H10" s="2">
        <f t="shared" si="1"/>
        <v>1200</v>
      </c>
      <c r="I10" s="2">
        <f t="shared" si="0"/>
        <v>600</v>
      </c>
    </row>
    <row r="11" spans="1:13" hidden="1" x14ac:dyDescent="0.3">
      <c r="A11" s="1">
        <v>45721</v>
      </c>
      <c r="B11" t="s">
        <v>15</v>
      </c>
      <c r="C11" t="s">
        <v>20</v>
      </c>
      <c r="D11" t="s">
        <v>12</v>
      </c>
      <c r="E11">
        <v>5</v>
      </c>
      <c r="F11" s="4">
        <v>2300</v>
      </c>
      <c r="G11" s="2">
        <v>1265</v>
      </c>
      <c r="H11" s="2">
        <f t="shared" si="1"/>
        <v>11500</v>
      </c>
      <c r="I11" s="2">
        <f t="shared" si="0"/>
        <v>5175</v>
      </c>
    </row>
    <row r="12" spans="1:13" hidden="1" x14ac:dyDescent="0.3">
      <c r="A12" s="1">
        <v>45392</v>
      </c>
      <c r="B12" t="s">
        <v>7</v>
      </c>
      <c r="C12" t="s">
        <v>11</v>
      </c>
      <c r="D12" t="s">
        <v>12</v>
      </c>
      <c r="E12">
        <v>15</v>
      </c>
      <c r="F12" s="4">
        <v>500</v>
      </c>
      <c r="G12" s="2">
        <v>275</v>
      </c>
      <c r="H12" s="2">
        <f t="shared" si="1"/>
        <v>7500</v>
      </c>
      <c r="I12" s="2">
        <f t="shared" si="0"/>
        <v>3375</v>
      </c>
    </row>
    <row r="13" spans="1:13" hidden="1" x14ac:dyDescent="0.3">
      <c r="A13" s="1">
        <v>45485</v>
      </c>
      <c r="B13" t="s">
        <v>7</v>
      </c>
      <c r="C13" t="s">
        <v>5</v>
      </c>
      <c r="D13" t="s">
        <v>9</v>
      </c>
      <c r="E13">
        <v>19</v>
      </c>
      <c r="F13" s="4">
        <v>20000</v>
      </c>
      <c r="G13" s="2">
        <v>13000</v>
      </c>
      <c r="H13" s="2">
        <f t="shared" si="1"/>
        <v>380000</v>
      </c>
      <c r="I13" s="2">
        <f t="shared" si="0"/>
        <v>133000</v>
      </c>
    </row>
    <row r="14" spans="1:13" hidden="1" x14ac:dyDescent="0.3">
      <c r="A14" s="1">
        <v>45128</v>
      </c>
      <c r="B14" t="s">
        <v>18</v>
      </c>
      <c r="C14" t="s">
        <v>13</v>
      </c>
      <c r="D14" t="s">
        <v>9</v>
      </c>
      <c r="E14">
        <v>2</v>
      </c>
      <c r="F14" s="4">
        <v>12000</v>
      </c>
      <c r="G14" s="2">
        <v>7800</v>
      </c>
      <c r="H14" s="2">
        <f t="shared" si="1"/>
        <v>24000</v>
      </c>
      <c r="I14" s="2">
        <f t="shared" si="0"/>
        <v>8400</v>
      </c>
    </row>
    <row r="15" spans="1:13" hidden="1" x14ac:dyDescent="0.3">
      <c r="A15" s="1">
        <v>45675</v>
      </c>
      <c r="B15" t="s">
        <v>16</v>
      </c>
      <c r="C15" t="s">
        <v>20</v>
      </c>
      <c r="D15" t="s">
        <v>21</v>
      </c>
      <c r="E15">
        <v>1</v>
      </c>
      <c r="F15" s="4">
        <v>45600</v>
      </c>
      <c r="G15" s="2">
        <v>27360</v>
      </c>
      <c r="H15" s="2">
        <f t="shared" si="1"/>
        <v>45600</v>
      </c>
      <c r="I15" s="2">
        <f t="shared" si="0"/>
        <v>18240</v>
      </c>
    </row>
    <row r="16" spans="1:13" hidden="1" x14ac:dyDescent="0.3">
      <c r="A16" s="1">
        <v>45634</v>
      </c>
      <c r="B16" t="s">
        <v>18</v>
      </c>
      <c r="C16" t="s">
        <v>11</v>
      </c>
      <c r="D16" t="s">
        <v>12</v>
      </c>
      <c r="E16">
        <v>15</v>
      </c>
      <c r="F16" s="4">
        <v>1200</v>
      </c>
      <c r="G16" s="2">
        <v>660</v>
      </c>
      <c r="H16" s="2">
        <f t="shared" si="1"/>
        <v>18000</v>
      </c>
      <c r="I16" s="2">
        <f t="shared" si="0"/>
        <v>8100</v>
      </c>
    </row>
    <row r="17" spans="1:16" hidden="1" x14ac:dyDescent="0.3">
      <c r="A17" s="1">
        <v>45788</v>
      </c>
      <c r="B17" t="s">
        <v>7</v>
      </c>
      <c r="C17" t="s">
        <v>20</v>
      </c>
      <c r="D17" t="s">
        <v>14</v>
      </c>
      <c r="E17">
        <v>17</v>
      </c>
      <c r="F17" s="4">
        <v>600</v>
      </c>
      <c r="G17" s="2">
        <v>300</v>
      </c>
      <c r="H17" s="2">
        <f t="shared" si="1"/>
        <v>10200</v>
      </c>
      <c r="I17" s="2">
        <f t="shared" si="0"/>
        <v>5100</v>
      </c>
    </row>
    <row r="18" spans="1:16" hidden="1" x14ac:dyDescent="0.3">
      <c r="A18" s="1">
        <v>44983</v>
      </c>
      <c r="B18" t="s">
        <v>19</v>
      </c>
      <c r="C18" t="s">
        <v>20</v>
      </c>
      <c r="D18" t="s">
        <v>6</v>
      </c>
      <c r="E18">
        <v>19</v>
      </c>
      <c r="F18" s="4">
        <v>55200</v>
      </c>
      <c r="G18" s="2">
        <v>38640</v>
      </c>
      <c r="H18" s="2">
        <f t="shared" si="1"/>
        <v>1048800</v>
      </c>
      <c r="I18" s="2">
        <f t="shared" si="0"/>
        <v>314640</v>
      </c>
    </row>
    <row r="19" spans="1:16" hidden="1" x14ac:dyDescent="0.3">
      <c r="A19" s="1">
        <v>45440</v>
      </c>
      <c r="B19" t="s">
        <v>18</v>
      </c>
      <c r="C19" t="s">
        <v>13</v>
      </c>
      <c r="D19" t="s">
        <v>12</v>
      </c>
      <c r="E19">
        <v>11</v>
      </c>
      <c r="F19" s="4">
        <v>800</v>
      </c>
      <c r="G19" s="2">
        <v>440</v>
      </c>
      <c r="H19" s="2">
        <f t="shared" si="1"/>
        <v>8800</v>
      </c>
      <c r="I19" s="2">
        <f t="shared" si="0"/>
        <v>3960</v>
      </c>
    </row>
    <row r="20" spans="1:16" hidden="1" x14ac:dyDescent="0.3">
      <c r="A20" s="1">
        <v>45260</v>
      </c>
      <c r="B20" t="s">
        <v>16</v>
      </c>
      <c r="C20" t="s">
        <v>5</v>
      </c>
      <c r="D20" t="s">
        <v>9</v>
      </c>
      <c r="E20">
        <v>20</v>
      </c>
      <c r="F20" s="4">
        <v>11500</v>
      </c>
      <c r="G20" s="2">
        <v>7475</v>
      </c>
      <c r="H20" s="2">
        <f t="shared" si="1"/>
        <v>230000</v>
      </c>
      <c r="I20" s="2">
        <f t="shared" si="0"/>
        <v>80500</v>
      </c>
    </row>
    <row r="21" spans="1:16" hidden="1" x14ac:dyDescent="0.3">
      <c r="A21" s="1">
        <v>45099</v>
      </c>
      <c r="B21" t="s">
        <v>16</v>
      </c>
      <c r="C21" t="s">
        <v>20</v>
      </c>
      <c r="D21" t="s">
        <v>12</v>
      </c>
      <c r="E21">
        <v>14</v>
      </c>
      <c r="F21" s="4">
        <v>1200</v>
      </c>
      <c r="G21" s="2">
        <v>660</v>
      </c>
      <c r="H21" s="2">
        <f t="shared" si="1"/>
        <v>16800</v>
      </c>
      <c r="I21" s="2">
        <f t="shared" si="0"/>
        <v>7560</v>
      </c>
    </row>
    <row r="22" spans="1:16" hidden="1" x14ac:dyDescent="0.3">
      <c r="A22" s="1">
        <v>45813</v>
      </c>
      <c r="B22" t="s">
        <v>18</v>
      </c>
      <c r="C22" t="s">
        <v>20</v>
      </c>
      <c r="D22" t="s">
        <v>9</v>
      </c>
      <c r="E22">
        <v>10</v>
      </c>
      <c r="F22" s="4">
        <v>32300</v>
      </c>
      <c r="G22" s="2">
        <v>20995</v>
      </c>
      <c r="H22" s="2">
        <f t="shared" si="1"/>
        <v>323000</v>
      </c>
      <c r="I22" s="2">
        <f t="shared" si="0"/>
        <v>113050</v>
      </c>
    </row>
    <row r="23" spans="1:16" hidden="1" x14ac:dyDescent="0.3">
      <c r="A23" s="1">
        <v>44988</v>
      </c>
      <c r="B23" t="s">
        <v>19</v>
      </c>
      <c r="C23" t="s">
        <v>13</v>
      </c>
      <c r="D23" t="s">
        <v>14</v>
      </c>
      <c r="E23">
        <v>14</v>
      </c>
      <c r="F23" s="4">
        <v>4300</v>
      </c>
      <c r="G23" s="2">
        <v>2150</v>
      </c>
      <c r="H23" s="2">
        <f t="shared" si="1"/>
        <v>60200</v>
      </c>
      <c r="I23" s="2">
        <f t="shared" si="0"/>
        <v>30100</v>
      </c>
    </row>
    <row r="24" spans="1:16" hidden="1" x14ac:dyDescent="0.3">
      <c r="A24" s="1">
        <v>45340</v>
      </c>
      <c r="B24" t="s">
        <v>16</v>
      </c>
      <c r="C24" t="s">
        <v>11</v>
      </c>
      <c r="D24" t="s">
        <v>6</v>
      </c>
      <c r="E24">
        <v>14</v>
      </c>
      <c r="F24" s="4">
        <v>65400</v>
      </c>
      <c r="G24" s="2">
        <v>45780</v>
      </c>
      <c r="H24" s="2">
        <f t="shared" si="1"/>
        <v>915600</v>
      </c>
      <c r="I24" s="2">
        <f t="shared" si="0"/>
        <v>274680</v>
      </c>
    </row>
    <row r="25" spans="1:16" hidden="1" x14ac:dyDescent="0.3">
      <c r="A25" s="1">
        <v>45144</v>
      </c>
      <c r="B25" t="s">
        <v>18</v>
      </c>
      <c r="C25" t="s">
        <v>13</v>
      </c>
      <c r="D25" t="s">
        <v>6</v>
      </c>
      <c r="E25">
        <v>12</v>
      </c>
      <c r="F25" s="4">
        <v>72500</v>
      </c>
      <c r="G25" s="2">
        <v>50750</v>
      </c>
      <c r="H25" s="2">
        <f t="shared" si="1"/>
        <v>870000</v>
      </c>
      <c r="I25" s="2">
        <f t="shared" si="0"/>
        <v>261000</v>
      </c>
      <c r="P25" s="4" cm="1">
        <f t="array" ref="P25:P123">F2:F100*G2:G100</f>
        <v>7014007000</v>
      </c>
    </row>
    <row r="26" spans="1:16" hidden="1" x14ac:dyDescent="0.3">
      <c r="A26" s="1">
        <v>45435</v>
      </c>
      <c r="B26" t="s">
        <v>7</v>
      </c>
      <c r="C26" t="s">
        <v>11</v>
      </c>
      <c r="D26" t="s">
        <v>12</v>
      </c>
      <c r="E26">
        <v>5</v>
      </c>
      <c r="F26" s="4">
        <v>8300</v>
      </c>
      <c r="G26" s="2">
        <v>4565</v>
      </c>
      <c r="H26" s="2">
        <f t="shared" si="1"/>
        <v>41500</v>
      </c>
      <c r="I26" s="2">
        <f t="shared" si="0"/>
        <v>18675</v>
      </c>
      <c r="P26">
        <v>156162500</v>
      </c>
    </row>
    <row r="27" spans="1:16" hidden="1" x14ac:dyDescent="0.3">
      <c r="A27" s="1">
        <v>45222</v>
      </c>
      <c r="B27" t="s">
        <v>18</v>
      </c>
      <c r="C27" t="s">
        <v>5</v>
      </c>
      <c r="D27" t="s">
        <v>9</v>
      </c>
      <c r="E27">
        <v>13</v>
      </c>
      <c r="F27" s="4">
        <v>42600</v>
      </c>
      <c r="G27" s="2">
        <v>27690</v>
      </c>
      <c r="H27" s="2">
        <f t="shared" si="1"/>
        <v>553800</v>
      </c>
      <c r="I27" s="2">
        <f t="shared" si="0"/>
        <v>193830</v>
      </c>
      <c r="P27">
        <v>6737500</v>
      </c>
    </row>
    <row r="28" spans="1:16" hidden="1" x14ac:dyDescent="0.3">
      <c r="A28" s="1">
        <v>45824</v>
      </c>
      <c r="B28" t="s">
        <v>15</v>
      </c>
      <c r="C28" t="s">
        <v>20</v>
      </c>
      <c r="D28" t="s">
        <v>9</v>
      </c>
      <c r="E28">
        <v>1</v>
      </c>
      <c r="F28" s="4">
        <v>18100</v>
      </c>
      <c r="G28" s="2">
        <v>11765</v>
      </c>
      <c r="H28" s="2">
        <f t="shared" si="1"/>
        <v>18100</v>
      </c>
      <c r="I28" s="2">
        <f t="shared" si="0"/>
        <v>6335</v>
      </c>
      <c r="P28">
        <v>180000</v>
      </c>
    </row>
    <row r="29" spans="1:16" hidden="1" x14ac:dyDescent="0.3">
      <c r="A29" s="1">
        <v>44988</v>
      </c>
      <c r="B29" t="s">
        <v>18</v>
      </c>
      <c r="C29" t="s">
        <v>11</v>
      </c>
      <c r="D29" t="s">
        <v>9</v>
      </c>
      <c r="E29">
        <v>4</v>
      </c>
      <c r="F29" s="4">
        <v>27300</v>
      </c>
      <c r="G29" s="2">
        <v>17745</v>
      </c>
      <c r="H29" s="2">
        <f t="shared" si="1"/>
        <v>109200</v>
      </c>
      <c r="I29" s="2">
        <f t="shared" si="0"/>
        <v>38220</v>
      </c>
      <c r="P29">
        <v>6737500</v>
      </c>
    </row>
    <row r="30" spans="1:16" x14ac:dyDescent="0.3">
      <c r="A30" s="1">
        <v>45614</v>
      </c>
      <c r="B30" t="s">
        <v>16</v>
      </c>
      <c r="C30" s="19" t="s">
        <v>8</v>
      </c>
      <c r="D30" t="s">
        <v>6</v>
      </c>
      <c r="E30">
        <v>1</v>
      </c>
      <c r="F30" s="4">
        <v>54200</v>
      </c>
      <c r="G30" s="2">
        <v>37940</v>
      </c>
      <c r="H30" s="2">
        <f t="shared" si="1"/>
        <v>54200</v>
      </c>
      <c r="I30" s="2">
        <f t="shared" si="0"/>
        <v>16260</v>
      </c>
      <c r="P30">
        <v>41600000</v>
      </c>
    </row>
    <row r="31" spans="1:16" hidden="1" x14ac:dyDescent="0.3">
      <c r="A31" s="1">
        <v>45055</v>
      </c>
      <c r="B31" t="s">
        <v>16</v>
      </c>
      <c r="C31" t="s">
        <v>13</v>
      </c>
      <c r="D31" t="s">
        <v>21</v>
      </c>
      <c r="E31">
        <v>1</v>
      </c>
      <c r="F31" s="4">
        <v>24500</v>
      </c>
      <c r="G31" s="2">
        <v>14700</v>
      </c>
      <c r="H31" s="2">
        <f t="shared" si="1"/>
        <v>24500</v>
      </c>
      <c r="I31" s="2">
        <f t="shared" si="0"/>
        <v>9800</v>
      </c>
      <c r="P31">
        <v>125000</v>
      </c>
    </row>
    <row r="32" spans="1:16" hidden="1" x14ac:dyDescent="0.3">
      <c r="A32" s="1">
        <v>45633</v>
      </c>
      <c r="B32" t="s">
        <v>15</v>
      </c>
      <c r="C32" t="s">
        <v>11</v>
      </c>
      <c r="D32" t="s">
        <v>21</v>
      </c>
      <c r="E32">
        <v>12</v>
      </c>
      <c r="F32" s="4">
        <v>28300</v>
      </c>
      <c r="G32" s="2">
        <v>16980</v>
      </c>
      <c r="H32" s="2">
        <f t="shared" si="1"/>
        <v>339600</v>
      </c>
      <c r="I32" s="2">
        <f t="shared" si="0"/>
        <v>135840</v>
      </c>
      <c r="P32">
        <v>45000</v>
      </c>
    </row>
    <row r="33" spans="1:16" hidden="1" x14ac:dyDescent="0.3">
      <c r="A33" s="1">
        <v>45335</v>
      </c>
      <c r="B33" t="s">
        <v>15</v>
      </c>
      <c r="C33" t="s">
        <v>11</v>
      </c>
      <c r="D33" t="s">
        <v>9</v>
      </c>
      <c r="E33">
        <v>7</v>
      </c>
      <c r="F33" s="4">
        <v>31400</v>
      </c>
      <c r="G33" s="2">
        <v>20410</v>
      </c>
      <c r="H33" s="2">
        <f t="shared" si="1"/>
        <v>219800</v>
      </c>
      <c r="I33" s="2">
        <f t="shared" si="0"/>
        <v>76930</v>
      </c>
      <c r="P33">
        <v>80000</v>
      </c>
    </row>
    <row r="34" spans="1:16" x14ac:dyDescent="0.3">
      <c r="A34" s="1">
        <v>45725</v>
      </c>
      <c r="B34" t="s">
        <v>16</v>
      </c>
      <c r="C34" s="19" t="s">
        <v>8</v>
      </c>
      <c r="D34" t="s">
        <v>12</v>
      </c>
      <c r="E34">
        <v>6</v>
      </c>
      <c r="F34" s="4">
        <v>7100</v>
      </c>
      <c r="G34" s="2">
        <v>3905</v>
      </c>
      <c r="H34" s="2">
        <f t="shared" si="1"/>
        <v>42600</v>
      </c>
      <c r="I34" s="2">
        <f t="shared" si="0"/>
        <v>19170</v>
      </c>
      <c r="P34">
        <v>2909500</v>
      </c>
    </row>
    <row r="35" spans="1:16" hidden="1" x14ac:dyDescent="0.3">
      <c r="A35" s="1">
        <v>45021</v>
      </c>
      <c r="B35" t="s">
        <v>10</v>
      </c>
      <c r="C35" t="s">
        <v>13</v>
      </c>
      <c r="D35" t="s">
        <v>12</v>
      </c>
      <c r="E35">
        <v>17</v>
      </c>
      <c r="F35" s="4">
        <v>11500</v>
      </c>
      <c r="G35" s="2">
        <v>6325</v>
      </c>
      <c r="H35" s="2">
        <f t="shared" si="1"/>
        <v>195500</v>
      </c>
      <c r="I35" s="2">
        <f t="shared" si="0"/>
        <v>87975</v>
      </c>
      <c r="P35">
        <v>137500</v>
      </c>
    </row>
    <row r="36" spans="1:16" hidden="1" x14ac:dyDescent="0.3">
      <c r="A36" s="1">
        <v>45785</v>
      </c>
      <c r="B36" t="s">
        <v>18</v>
      </c>
      <c r="C36" t="s">
        <v>11</v>
      </c>
      <c r="D36" t="s">
        <v>17</v>
      </c>
      <c r="E36">
        <v>4</v>
      </c>
      <c r="F36" s="4">
        <v>15600</v>
      </c>
      <c r="G36" s="2">
        <v>10140</v>
      </c>
      <c r="H36" s="2">
        <f t="shared" si="1"/>
        <v>62400</v>
      </c>
      <c r="I36" s="2">
        <f t="shared" si="0"/>
        <v>21840</v>
      </c>
      <c r="P36">
        <v>260000000</v>
      </c>
    </row>
    <row r="37" spans="1:16" hidden="1" x14ac:dyDescent="0.3">
      <c r="A37" s="1">
        <v>45172</v>
      </c>
      <c r="B37" t="s">
        <v>10</v>
      </c>
      <c r="C37" t="s">
        <v>11</v>
      </c>
      <c r="D37" t="s">
        <v>21</v>
      </c>
      <c r="E37">
        <v>14</v>
      </c>
      <c r="F37" s="4">
        <v>22100</v>
      </c>
      <c r="G37" s="2">
        <v>13260</v>
      </c>
      <c r="H37" s="2">
        <f t="shared" si="1"/>
        <v>309400</v>
      </c>
      <c r="I37" s="2">
        <f t="shared" si="0"/>
        <v>123760</v>
      </c>
      <c r="P37">
        <v>93600000</v>
      </c>
    </row>
    <row r="38" spans="1:16" hidden="1" x14ac:dyDescent="0.3">
      <c r="A38" s="1">
        <v>45737</v>
      </c>
      <c r="B38" t="s">
        <v>16</v>
      </c>
      <c r="C38" t="s">
        <v>13</v>
      </c>
      <c r="D38" t="s">
        <v>14</v>
      </c>
      <c r="E38">
        <v>9</v>
      </c>
      <c r="F38" s="4">
        <v>4300</v>
      </c>
      <c r="G38" s="2">
        <v>2150</v>
      </c>
      <c r="H38" s="2">
        <f t="shared" si="1"/>
        <v>38700</v>
      </c>
      <c r="I38" s="2">
        <f t="shared" si="0"/>
        <v>19350</v>
      </c>
      <c r="P38">
        <v>1247616000</v>
      </c>
    </row>
    <row r="39" spans="1:16" x14ac:dyDescent="0.3">
      <c r="A39" s="1">
        <v>45828</v>
      </c>
      <c r="B39" t="s">
        <v>18</v>
      </c>
      <c r="C39" s="19" t="s">
        <v>8</v>
      </c>
      <c r="D39" t="s">
        <v>14</v>
      </c>
      <c r="E39">
        <v>7</v>
      </c>
      <c r="F39" s="4">
        <v>4300</v>
      </c>
      <c r="G39" s="2">
        <v>2150</v>
      </c>
      <c r="H39" s="2">
        <f t="shared" si="1"/>
        <v>30100</v>
      </c>
      <c r="I39" s="2">
        <f t="shared" si="0"/>
        <v>15050</v>
      </c>
      <c r="P39">
        <v>792000</v>
      </c>
    </row>
    <row r="40" spans="1:16" hidden="1" x14ac:dyDescent="0.3">
      <c r="A40" s="1">
        <v>45337</v>
      </c>
      <c r="B40" t="s">
        <v>19</v>
      </c>
      <c r="C40" t="s">
        <v>13</v>
      </c>
      <c r="D40" t="s">
        <v>22</v>
      </c>
      <c r="E40">
        <v>14</v>
      </c>
      <c r="F40" s="4">
        <v>18400</v>
      </c>
      <c r="G40" s="2">
        <v>11040</v>
      </c>
      <c r="H40" s="2">
        <f t="shared" si="1"/>
        <v>257600</v>
      </c>
      <c r="I40" s="2">
        <f t="shared" si="0"/>
        <v>103040</v>
      </c>
      <c r="P40">
        <v>180000</v>
      </c>
    </row>
    <row r="41" spans="1:16" hidden="1" x14ac:dyDescent="0.3">
      <c r="A41" s="1">
        <v>45086</v>
      </c>
      <c r="B41" t="s">
        <v>10</v>
      </c>
      <c r="C41" t="s">
        <v>13</v>
      </c>
      <c r="D41" t="s">
        <v>6</v>
      </c>
      <c r="E41">
        <v>2</v>
      </c>
      <c r="F41" s="4">
        <v>68500</v>
      </c>
      <c r="G41" s="2">
        <v>47950</v>
      </c>
      <c r="H41" s="2">
        <f t="shared" si="1"/>
        <v>137000</v>
      </c>
      <c r="I41" s="2">
        <f t="shared" si="0"/>
        <v>41100</v>
      </c>
      <c r="P41">
        <v>2132928000</v>
      </c>
    </row>
    <row r="42" spans="1:16" x14ac:dyDescent="0.3">
      <c r="A42" s="1">
        <v>45148</v>
      </c>
      <c r="B42" t="s">
        <v>7</v>
      </c>
      <c r="C42" s="19" t="s">
        <v>8</v>
      </c>
      <c r="D42" t="s">
        <v>22</v>
      </c>
      <c r="E42">
        <v>5</v>
      </c>
      <c r="F42" s="4">
        <v>17500</v>
      </c>
      <c r="G42" s="2">
        <v>10500</v>
      </c>
      <c r="H42" s="2">
        <f t="shared" si="1"/>
        <v>87500</v>
      </c>
      <c r="I42" s="2">
        <f t="shared" si="0"/>
        <v>35000</v>
      </c>
      <c r="P42">
        <v>352000</v>
      </c>
    </row>
    <row r="43" spans="1:16" hidden="1" x14ac:dyDescent="0.3">
      <c r="A43" s="1">
        <v>45459</v>
      </c>
      <c r="B43" t="s">
        <v>7</v>
      </c>
      <c r="C43" t="s">
        <v>13</v>
      </c>
      <c r="D43" t="s">
        <v>22</v>
      </c>
      <c r="E43">
        <v>20</v>
      </c>
      <c r="F43" s="4">
        <v>21100</v>
      </c>
      <c r="G43" s="2">
        <v>12660</v>
      </c>
      <c r="H43" s="2">
        <f t="shared" si="1"/>
        <v>422000</v>
      </c>
      <c r="I43" s="2">
        <f t="shared" si="0"/>
        <v>168800</v>
      </c>
      <c r="P43">
        <v>85962500</v>
      </c>
    </row>
    <row r="44" spans="1:16" x14ac:dyDescent="0.3">
      <c r="A44" s="1">
        <v>45130</v>
      </c>
      <c r="B44" t="s">
        <v>7</v>
      </c>
      <c r="C44" s="19" t="s">
        <v>8</v>
      </c>
      <c r="D44" t="s">
        <v>6</v>
      </c>
      <c r="E44">
        <v>12</v>
      </c>
      <c r="F44" s="4">
        <v>60000</v>
      </c>
      <c r="G44" s="2">
        <v>42000</v>
      </c>
      <c r="H44" s="2">
        <f t="shared" si="1"/>
        <v>720000</v>
      </c>
      <c r="I44" s="2">
        <f t="shared" si="0"/>
        <v>216000</v>
      </c>
      <c r="P44">
        <v>792000</v>
      </c>
    </row>
    <row r="45" spans="1:16" hidden="1" x14ac:dyDescent="0.3">
      <c r="A45" s="1">
        <v>45066</v>
      </c>
      <c r="B45" t="s">
        <v>16</v>
      </c>
      <c r="C45" t="s">
        <v>13</v>
      </c>
      <c r="D45" t="s">
        <v>22</v>
      </c>
      <c r="E45">
        <v>4</v>
      </c>
      <c r="F45" s="4">
        <v>14500</v>
      </c>
      <c r="G45" s="2">
        <v>8700</v>
      </c>
      <c r="H45" s="2">
        <f t="shared" si="1"/>
        <v>58000</v>
      </c>
      <c r="I45" s="2">
        <f t="shared" si="0"/>
        <v>23200</v>
      </c>
      <c r="P45">
        <v>678138500</v>
      </c>
    </row>
    <row r="46" spans="1:16" x14ac:dyDescent="0.3">
      <c r="A46" s="1">
        <v>45107</v>
      </c>
      <c r="B46" t="s">
        <v>7</v>
      </c>
      <c r="C46" s="19" t="s">
        <v>8</v>
      </c>
      <c r="D46" t="s">
        <v>6</v>
      </c>
      <c r="E46">
        <v>2</v>
      </c>
      <c r="F46" s="4">
        <v>66400</v>
      </c>
      <c r="G46" s="2">
        <v>46480</v>
      </c>
      <c r="H46" s="2">
        <f t="shared" si="1"/>
        <v>132800</v>
      </c>
      <c r="I46" s="2">
        <f t="shared" si="0"/>
        <v>39840</v>
      </c>
      <c r="P46">
        <v>9245000</v>
      </c>
    </row>
    <row r="47" spans="1:16" x14ac:dyDescent="0.3">
      <c r="A47" s="1">
        <v>45447</v>
      </c>
      <c r="B47" t="s">
        <v>10</v>
      </c>
      <c r="C47" s="19" t="s">
        <v>8</v>
      </c>
      <c r="D47" t="s">
        <v>21</v>
      </c>
      <c r="E47">
        <v>16</v>
      </c>
      <c r="F47" s="4">
        <v>27300</v>
      </c>
      <c r="G47" s="2">
        <v>16380</v>
      </c>
      <c r="H47" s="2">
        <f t="shared" si="1"/>
        <v>436800</v>
      </c>
      <c r="I47" s="2">
        <f t="shared" si="0"/>
        <v>174720</v>
      </c>
      <c r="P47">
        <v>2994012000</v>
      </c>
    </row>
    <row r="48" spans="1:16" hidden="1" x14ac:dyDescent="0.3">
      <c r="A48" s="1">
        <v>45691</v>
      </c>
      <c r="B48" t="s">
        <v>15</v>
      </c>
      <c r="C48" t="s">
        <v>20</v>
      </c>
      <c r="D48" t="s">
        <v>14</v>
      </c>
      <c r="E48">
        <v>11</v>
      </c>
      <c r="F48" s="4">
        <v>3000</v>
      </c>
      <c r="G48" s="2">
        <v>2100</v>
      </c>
      <c r="H48" s="2">
        <f t="shared" si="1"/>
        <v>33000</v>
      </c>
      <c r="I48" s="2">
        <f t="shared" si="0"/>
        <v>9900</v>
      </c>
      <c r="P48">
        <v>3679375000</v>
      </c>
    </row>
    <row r="49" spans="1:16" hidden="1" x14ac:dyDescent="0.3">
      <c r="A49" s="1">
        <v>45300</v>
      </c>
      <c r="B49" t="s">
        <v>15</v>
      </c>
      <c r="C49" t="s">
        <v>5</v>
      </c>
      <c r="D49" t="s">
        <v>21</v>
      </c>
      <c r="E49">
        <v>8</v>
      </c>
      <c r="F49" s="4">
        <v>30600</v>
      </c>
      <c r="G49" s="2">
        <v>18360</v>
      </c>
      <c r="H49" s="2">
        <f t="shared" si="1"/>
        <v>244800</v>
      </c>
      <c r="I49" s="2">
        <f t="shared" si="0"/>
        <v>97920</v>
      </c>
      <c r="P49">
        <v>37889500</v>
      </c>
    </row>
    <row r="50" spans="1:16" hidden="1" x14ac:dyDescent="0.3">
      <c r="A50" s="1">
        <v>45365</v>
      </c>
      <c r="B50" t="s">
        <v>7</v>
      </c>
      <c r="C50" t="s">
        <v>11</v>
      </c>
      <c r="D50" t="s">
        <v>12</v>
      </c>
      <c r="E50">
        <v>5</v>
      </c>
      <c r="F50" s="4">
        <v>9200</v>
      </c>
      <c r="G50" s="2">
        <v>4600</v>
      </c>
      <c r="H50" s="2">
        <f t="shared" si="1"/>
        <v>46000</v>
      </c>
      <c r="I50" s="2">
        <f t="shared" si="0"/>
        <v>23000</v>
      </c>
      <c r="P50">
        <v>1179594000</v>
      </c>
    </row>
    <row r="51" spans="1:16" hidden="1" x14ac:dyDescent="0.3">
      <c r="A51" s="1">
        <v>45541</v>
      </c>
      <c r="B51" t="s">
        <v>10</v>
      </c>
      <c r="C51" t="s">
        <v>20</v>
      </c>
      <c r="D51" t="s">
        <v>17</v>
      </c>
      <c r="E51">
        <v>14</v>
      </c>
      <c r="F51" s="4">
        <v>16200</v>
      </c>
      <c r="G51" s="2">
        <v>9720</v>
      </c>
      <c r="H51" s="2">
        <f t="shared" si="1"/>
        <v>226800</v>
      </c>
      <c r="I51" s="2">
        <f t="shared" si="0"/>
        <v>90720</v>
      </c>
      <c r="P51">
        <v>212946500</v>
      </c>
    </row>
    <row r="52" spans="1:16" hidden="1" x14ac:dyDescent="0.3">
      <c r="A52" s="1">
        <v>45002</v>
      </c>
      <c r="B52" t="s">
        <v>15</v>
      </c>
      <c r="C52" t="s">
        <v>5</v>
      </c>
      <c r="D52" t="s">
        <v>17</v>
      </c>
      <c r="E52">
        <v>13</v>
      </c>
      <c r="F52" s="4">
        <v>14100</v>
      </c>
      <c r="G52" s="2">
        <v>7755</v>
      </c>
      <c r="H52" s="2">
        <f t="shared" si="1"/>
        <v>183300</v>
      </c>
      <c r="I52" s="2">
        <f t="shared" si="0"/>
        <v>82485</v>
      </c>
      <c r="P52">
        <v>484438500</v>
      </c>
    </row>
    <row r="53" spans="1:16" hidden="1" x14ac:dyDescent="0.3">
      <c r="A53" s="1">
        <v>45674</v>
      </c>
      <c r="B53" t="s">
        <v>10</v>
      </c>
      <c r="C53" t="s">
        <v>20</v>
      </c>
      <c r="D53" t="s">
        <v>14</v>
      </c>
      <c r="E53">
        <v>2</v>
      </c>
      <c r="F53" s="4">
        <v>3300</v>
      </c>
      <c r="G53" s="2">
        <v>1650</v>
      </c>
      <c r="H53" s="2">
        <f t="shared" si="1"/>
        <v>6600</v>
      </c>
      <c r="I53" s="2">
        <f t="shared" si="0"/>
        <v>3300</v>
      </c>
      <c r="P53">
        <v>2056348000</v>
      </c>
    </row>
    <row r="54" spans="1:16" x14ac:dyDescent="0.3">
      <c r="A54" s="1">
        <v>45547</v>
      </c>
      <c r="B54" t="s">
        <v>7</v>
      </c>
      <c r="C54" s="19" t="s">
        <v>8</v>
      </c>
      <c r="D54" t="s">
        <v>6</v>
      </c>
      <c r="E54">
        <v>1</v>
      </c>
      <c r="F54" s="4">
        <v>55300</v>
      </c>
      <c r="G54" s="2">
        <v>38710</v>
      </c>
      <c r="H54" s="2">
        <f t="shared" si="1"/>
        <v>55300</v>
      </c>
      <c r="I54" s="2">
        <f t="shared" si="0"/>
        <v>16590</v>
      </c>
      <c r="P54">
        <v>360150000</v>
      </c>
    </row>
    <row r="55" spans="1:16" x14ac:dyDescent="0.3">
      <c r="A55" s="1">
        <v>45296</v>
      </c>
      <c r="B55" t="s">
        <v>19</v>
      </c>
      <c r="C55" s="19" t="s">
        <v>8</v>
      </c>
      <c r="D55" t="s">
        <v>17</v>
      </c>
      <c r="E55">
        <v>2</v>
      </c>
      <c r="F55" s="4">
        <v>12400</v>
      </c>
      <c r="G55" s="2">
        <v>8060</v>
      </c>
      <c r="H55" s="2">
        <f t="shared" si="1"/>
        <v>24800</v>
      </c>
      <c r="I55" s="2">
        <f t="shared" si="0"/>
        <v>8680</v>
      </c>
      <c r="P55">
        <v>480534000</v>
      </c>
    </row>
    <row r="56" spans="1:16" hidden="1" x14ac:dyDescent="0.3">
      <c r="A56" s="1">
        <v>45401</v>
      </c>
      <c r="B56" t="s">
        <v>18</v>
      </c>
      <c r="C56" t="s">
        <v>20</v>
      </c>
      <c r="D56" t="s">
        <v>21</v>
      </c>
      <c r="E56">
        <v>11</v>
      </c>
      <c r="F56" s="4">
        <v>29300</v>
      </c>
      <c r="G56" s="2">
        <v>17580</v>
      </c>
      <c r="H56" s="2">
        <f t="shared" si="1"/>
        <v>322300</v>
      </c>
      <c r="I56" s="2">
        <f t="shared" si="0"/>
        <v>128920</v>
      </c>
      <c r="P56">
        <v>640874000</v>
      </c>
    </row>
    <row r="57" spans="1:16" hidden="1" x14ac:dyDescent="0.3">
      <c r="A57" s="1">
        <v>45819</v>
      </c>
      <c r="B57" t="s">
        <v>7</v>
      </c>
      <c r="C57" t="s">
        <v>13</v>
      </c>
      <c r="D57" t="s">
        <v>21</v>
      </c>
      <c r="E57">
        <v>11</v>
      </c>
      <c r="F57" s="4">
        <v>27200</v>
      </c>
      <c r="G57" s="2">
        <v>16320</v>
      </c>
      <c r="H57" s="2">
        <f t="shared" si="1"/>
        <v>299200</v>
      </c>
      <c r="I57" s="2">
        <f t="shared" si="0"/>
        <v>119680</v>
      </c>
      <c r="P57">
        <v>27725500</v>
      </c>
    </row>
    <row r="58" spans="1:16" hidden="1" x14ac:dyDescent="0.3">
      <c r="A58" s="1">
        <v>45722</v>
      </c>
      <c r="B58" t="s">
        <v>16</v>
      </c>
      <c r="C58" t="s">
        <v>5</v>
      </c>
      <c r="D58" t="s">
        <v>9</v>
      </c>
      <c r="E58">
        <v>17</v>
      </c>
      <c r="F58" s="4">
        <v>35100</v>
      </c>
      <c r="G58" s="2">
        <v>22815</v>
      </c>
      <c r="H58" s="2">
        <f t="shared" si="1"/>
        <v>596700</v>
      </c>
      <c r="I58" s="2">
        <f t="shared" si="0"/>
        <v>208845</v>
      </c>
      <c r="P58">
        <v>72737500</v>
      </c>
    </row>
    <row r="59" spans="1:16" hidden="1" x14ac:dyDescent="0.3">
      <c r="A59" s="1">
        <v>45070</v>
      </c>
      <c r="B59" t="s">
        <v>7</v>
      </c>
      <c r="C59" t="s">
        <v>5</v>
      </c>
      <c r="D59" t="s">
        <v>14</v>
      </c>
      <c r="E59">
        <v>5</v>
      </c>
      <c r="F59" s="4">
        <v>3100</v>
      </c>
      <c r="G59" s="2">
        <v>1550</v>
      </c>
      <c r="H59" s="2">
        <f t="shared" si="1"/>
        <v>15500</v>
      </c>
      <c r="I59" s="2">
        <f t="shared" si="0"/>
        <v>7750</v>
      </c>
      <c r="P59">
        <v>158184000</v>
      </c>
    </row>
    <row r="60" spans="1:16" x14ac:dyDescent="0.3">
      <c r="A60" s="1">
        <v>44953</v>
      </c>
      <c r="B60" t="s">
        <v>19</v>
      </c>
      <c r="C60" s="19" t="s">
        <v>8</v>
      </c>
      <c r="D60" t="s">
        <v>9</v>
      </c>
      <c r="E60">
        <v>11</v>
      </c>
      <c r="F60" s="4">
        <v>38400</v>
      </c>
      <c r="G60" s="2">
        <v>24960</v>
      </c>
      <c r="H60" s="2">
        <f t="shared" si="1"/>
        <v>422400</v>
      </c>
      <c r="I60" s="2">
        <f t="shared" si="0"/>
        <v>147840</v>
      </c>
      <c r="P60">
        <v>293046000</v>
      </c>
    </row>
    <row r="61" spans="1:16" x14ac:dyDescent="0.3">
      <c r="A61" s="1">
        <v>45372</v>
      </c>
      <c r="B61" t="s">
        <v>19</v>
      </c>
      <c r="C61" s="19" t="s">
        <v>8</v>
      </c>
      <c r="D61" t="s">
        <v>6</v>
      </c>
      <c r="E61">
        <v>18</v>
      </c>
      <c r="F61" s="4">
        <v>74300</v>
      </c>
      <c r="G61" s="2">
        <v>52010</v>
      </c>
      <c r="H61" s="2">
        <f t="shared" si="1"/>
        <v>1337400</v>
      </c>
      <c r="I61" s="2">
        <f t="shared" si="0"/>
        <v>401220</v>
      </c>
      <c r="P61">
        <v>9245000</v>
      </c>
    </row>
    <row r="62" spans="1:16" hidden="1" x14ac:dyDescent="0.3">
      <c r="A62" s="1">
        <v>45682</v>
      </c>
      <c r="B62" t="s">
        <v>15</v>
      </c>
      <c r="C62" t="s">
        <v>20</v>
      </c>
      <c r="D62" t="s">
        <v>6</v>
      </c>
      <c r="E62">
        <v>20</v>
      </c>
      <c r="F62" s="4">
        <v>78300</v>
      </c>
      <c r="G62" s="2">
        <v>54810</v>
      </c>
      <c r="H62" s="2">
        <f t="shared" si="1"/>
        <v>1566000</v>
      </c>
      <c r="I62" s="2">
        <f t="shared" si="0"/>
        <v>469800</v>
      </c>
      <c r="P62">
        <v>9245000</v>
      </c>
    </row>
    <row r="63" spans="1:16" hidden="1" x14ac:dyDescent="0.3">
      <c r="A63" s="1">
        <v>45089</v>
      </c>
      <c r="B63" t="s">
        <v>7</v>
      </c>
      <c r="C63" t="s">
        <v>13</v>
      </c>
      <c r="D63" t="s">
        <v>9</v>
      </c>
      <c r="E63">
        <v>8</v>
      </c>
      <c r="F63" s="4">
        <v>29300</v>
      </c>
      <c r="G63" s="2">
        <v>19045</v>
      </c>
      <c r="H63" s="2">
        <f t="shared" si="1"/>
        <v>234400</v>
      </c>
      <c r="I63" s="2">
        <f t="shared" si="0"/>
        <v>82040</v>
      </c>
      <c r="P63">
        <v>203136000</v>
      </c>
    </row>
    <row r="64" spans="1:16" hidden="1" x14ac:dyDescent="0.3">
      <c r="A64" s="1">
        <v>45738</v>
      </c>
      <c r="B64" t="s">
        <v>10</v>
      </c>
      <c r="C64" t="s">
        <v>13</v>
      </c>
      <c r="D64" t="s">
        <v>14</v>
      </c>
      <c r="E64">
        <v>3</v>
      </c>
      <c r="F64" s="4">
        <v>4500</v>
      </c>
      <c r="G64" s="2">
        <v>2250</v>
      </c>
      <c r="H64" s="2">
        <f t="shared" si="1"/>
        <v>13500</v>
      </c>
      <c r="I64" s="2">
        <f t="shared" si="0"/>
        <v>6750</v>
      </c>
      <c r="P64">
        <v>3284575000</v>
      </c>
    </row>
    <row r="65" spans="1:16" hidden="1" x14ac:dyDescent="0.3">
      <c r="A65" s="1">
        <v>45346</v>
      </c>
      <c r="B65" t="s">
        <v>19</v>
      </c>
      <c r="C65" t="s">
        <v>13</v>
      </c>
      <c r="D65" t="s">
        <v>12</v>
      </c>
      <c r="E65">
        <v>16</v>
      </c>
      <c r="F65" s="4">
        <v>10000</v>
      </c>
      <c r="G65" s="2">
        <v>5500</v>
      </c>
      <c r="H65" s="2">
        <f t="shared" si="1"/>
        <v>160000</v>
      </c>
      <c r="I65" s="2">
        <f t="shared" si="0"/>
        <v>72000</v>
      </c>
      <c r="P65">
        <v>183750000</v>
      </c>
    </row>
    <row r="66" spans="1:16" x14ac:dyDescent="0.3">
      <c r="A66" s="1">
        <v>45269</v>
      </c>
      <c r="B66" t="s">
        <v>15</v>
      </c>
      <c r="C66" s="19" t="s">
        <v>8</v>
      </c>
      <c r="D66" t="s">
        <v>14</v>
      </c>
      <c r="E66">
        <v>15</v>
      </c>
      <c r="F66" s="4">
        <v>5500</v>
      </c>
      <c r="G66" s="2">
        <v>2750</v>
      </c>
      <c r="H66" s="2">
        <f t="shared" si="1"/>
        <v>82500</v>
      </c>
      <c r="I66" s="2">
        <f t="shared" si="0"/>
        <v>41250</v>
      </c>
      <c r="P66">
        <v>267126000</v>
      </c>
    </row>
    <row r="67" spans="1:16" hidden="1" x14ac:dyDescent="0.3">
      <c r="A67" s="1">
        <v>45200</v>
      </c>
      <c r="B67" t="s">
        <v>15</v>
      </c>
      <c r="C67" t="s">
        <v>13</v>
      </c>
      <c r="D67" t="s">
        <v>17</v>
      </c>
      <c r="E67">
        <v>3</v>
      </c>
      <c r="F67" s="4">
        <v>15100</v>
      </c>
      <c r="G67" s="2">
        <v>9815</v>
      </c>
      <c r="H67" s="2">
        <f t="shared" ref="H67:H100" si="2">E67*F67</f>
        <v>45300</v>
      </c>
      <c r="I67" s="2">
        <f t="shared" ref="I67:I100" si="3">H67-(G67*E67)</f>
        <v>15855</v>
      </c>
      <c r="P67">
        <v>2520000000</v>
      </c>
    </row>
    <row r="68" spans="1:16" hidden="1" x14ac:dyDescent="0.3">
      <c r="A68" s="1">
        <v>45138</v>
      </c>
      <c r="B68" t="s">
        <v>15</v>
      </c>
      <c r="C68" t="s">
        <v>20</v>
      </c>
      <c r="D68" t="s">
        <v>21</v>
      </c>
      <c r="E68">
        <v>5</v>
      </c>
      <c r="F68" s="4">
        <v>46500</v>
      </c>
      <c r="G68" s="2">
        <v>27900</v>
      </c>
      <c r="H68" s="2">
        <f t="shared" si="2"/>
        <v>232500</v>
      </c>
      <c r="I68" s="2">
        <f t="shared" si="3"/>
        <v>93000</v>
      </c>
      <c r="P68">
        <v>126150000</v>
      </c>
    </row>
    <row r="69" spans="1:16" x14ac:dyDescent="0.3">
      <c r="A69" s="1">
        <v>45650</v>
      </c>
      <c r="B69" t="s">
        <v>16</v>
      </c>
      <c r="C69" s="19" t="s">
        <v>8</v>
      </c>
      <c r="D69" t="s">
        <v>14</v>
      </c>
      <c r="E69">
        <v>8</v>
      </c>
      <c r="F69" s="4">
        <v>4400</v>
      </c>
      <c r="G69" s="2">
        <v>2200</v>
      </c>
      <c r="H69" s="2">
        <f t="shared" si="2"/>
        <v>35200</v>
      </c>
      <c r="I69" s="2">
        <f t="shared" si="3"/>
        <v>17600</v>
      </c>
      <c r="P69">
        <v>3086272000</v>
      </c>
    </row>
    <row r="70" spans="1:16" hidden="1" x14ac:dyDescent="0.3">
      <c r="A70" s="1">
        <v>45611</v>
      </c>
      <c r="B70" t="s">
        <v>19</v>
      </c>
      <c r="C70" t="s">
        <v>11</v>
      </c>
      <c r="D70" t="s">
        <v>9</v>
      </c>
      <c r="E70">
        <v>1</v>
      </c>
      <c r="F70" s="4">
        <v>18200</v>
      </c>
      <c r="G70" s="2">
        <v>11830</v>
      </c>
      <c r="H70" s="2">
        <f t="shared" si="2"/>
        <v>18200</v>
      </c>
      <c r="I70" s="2">
        <f t="shared" si="3"/>
        <v>6370</v>
      </c>
      <c r="P70">
        <v>447174000</v>
      </c>
    </row>
    <row r="71" spans="1:16" hidden="1" x14ac:dyDescent="0.3">
      <c r="A71" s="1">
        <v>45729</v>
      </c>
      <c r="B71" t="s">
        <v>16</v>
      </c>
      <c r="C71" t="s">
        <v>20</v>
      </c>
      <c r="D71" t="s">
        <v>17</v>
      </c>
      <c r="E71">
        <v>16</v>
      </c>
      <c r="F71" s="4">
        <v>17000</v>
      </c>
      <c r="G71" s="2">
        <v>11050</v>
      </c>
      <c r="H71" s="2">
        <f t="shared" si="2"/>
        <v>272000</v>
      </c>
      <c r="I71" s="2">
        <f t="shared" si="3"/>
        <v>95200</v>
      </c>
      <c r="P71">
        <v>6300000</v>
      </c>
    </row>
    <row r="72" spans="1:16" hidden="1" x14ac:dyDescent="0.3">
      <c r="A72" s="1">
        <v>45354</v>
      </c>
      <c r="B72" t="s">
        <v>10</v>
      </c>
      <c r="C72" t="s">
        <v>5</v>
      </c>
      <c r="D72" t="s">
        <v>21</v>
      </c>
      <c r="E72">
        <v>15</v>
      </c>
      <c r="F72" s="4">
        <v>30300</v>
      </c>
      <c r="G72" s="2">
        <v>18180</v>
      </c>
      <c r="H72" s="2">
        <f t="shared" si="2"/>
        <v>454500</v>
      </c>
      <c r="I72" s="2">
        <f t="shared" si="3"/>
        <v>181800</v>
      </c>
      <c r="P72">
        <v>561816000</v>
      </c>
    </row>
    <row r="73" spans="1:16" hidden="1" x14ac:dyDescent="0.3">
      <c r="A73" s="1">
        <v>44968</v>
      </c>
      <c r="B73" t="s">
        <v>7</v>
      </c>
      <c r="C73" t="s">
        <v>13</v>
      </c>
      <c r="D73" t="s">
        <v>21</v>
      </c>
      <c r="E73">
        <v>20</v>
      </c>
      <c r="F73" s="4">
        <v>34500</v>
      </c>
      <c r="G73" s="2">
        <v>20700</v>
      </c>
      <c r="H73" s="2">
        <f t="shared" si="2"/>
        <v>690000</v>
      </c>
      <c r="I73" s="2">
        <f t="shared" si="3"/>
        <v>276000</v>
      </c>
      <c r="P73">
        <v>42320000</v>
      </c>
    </row>
    <row r="74" spans="1:16" x14ac:dyDescent="0.3">
      <c r="A74" s="1">
        <v>45225</v>
      </c>
      <c r="B74" t="s">
        <v>16</v>
      </c>
      <c r="C74" s="19" t="s">
        <v>8</v>
      </c>
      <c r="D74" t="s">
        <v>12</v>
      </c>
      <c r="E74">
        <v>13</v>
      </c>
      <c r="F74" s="4">
        <v>11500</v>
      </c>
      <c r="G74" s="2">
        <v>6325</v>
      </c>
      <c r="H74" s="2">
        <f t="shared" si="2"/>
        <v>149500</v>
      </c>
      <c r="I74" s="2">
        <f t="shared" si="3"/>
        <v>67275</v>
      </c>
      <c r="P74">
        <v>157464000</v>
      </c>
    </row>
    <row r="75" spans="1:16" x14ac:dyDescent="0.3">
      <c r="A75" s="1">
        <v>45220</v>
      </c>
      <c r="B75" t="s">
        <v>10</v>
      </c>
      <c r="C75" s="19" t="s">
        <v>8</v>
      </c>
      <c r="D75" t="s">
        <v>17</v>
      </c>
      <c r="E75">
        <v>13</v>
      </c>
      <c r="F75" s="4">
        <v>15200</v>
      </c>
      <c r="G75" s="2">
        <v>9880</v>
      </c>
      <c r="H75" s="2">
        <f t="shared" si="2"/>
        <v>197600</v>
      </c>
      <c r="I75" s="2">
        <f t="shared" si="3"/>
        <v>69160</v>
      </c>
      <c r="P75">
        <v>109345500</v>
      </c>
    </row>
    <row r="76" spans="1:16" hidden="1" x14ac:dyDescent="0.3">
      <c r="A76" s="1">
        <v>45305</v>
      </c>
      <c r="B76" t="s">
        <v>18</v>
      </c>
      <c r="C76" t="s">
        <v>13</v>
      </c>
      <c r="D76" t="s">
        <v>21</v>
      </c>
      <c r="E76">
        <v>19</v>
      </c>
      <c r="F76" s="4">
        <v>28000</v>
      </c>
      <c r="G76" s="2">
        <v>16800</v>
      </c>
      <c r="H76" s="2">
        <f t="shared" si="2"/>
        <v>532000</v>
      </c>
      <c r="I76" s="2">
        <f t="shared" si="3"/>
        <v>212800</v>
      </c>
      <c r="P76">
        <v>5445000</v>
      </c>
    </row>
    <row r="77" spans="1:16" hidden="1" x14ac:dyDescent="0.3">
      <c r="A77" s="1">
        <v>45134</v>
      </c>
      <c r="B77" t="s">
        <v>7</v>
      </c>
      <c r="C77" t="s">
        <v>13</v>
      </c>
      <c r="D77" t="s">
        <v>12</v>
      </c>
      <c r="E77">
        <v>10</v>
      </c>
      <c r="F77" s="4">
        <v>10600</v>
      </c>
      <c r="G77" s="2">
        <v>5830</v>
      </c>
      <c r="H77" s="2">
        <f t="shared" si="2"/>
        <v>106000</v>
      </c>
      <c r="I77" s="2">
        <f t="shared" si="3"/>
        <v>47700</v>
      </c>
      <c r="P77">
        <v>2140663000</v>
      </c>
    </row>
    <row r="78" spans="1:16" x14ac:dyDescent="0.3">
      <c r="A78" s="1">
        <v>45588</v>
      </c>
      <c r="B78" t="s">
        <v>19</v>
      </c>
      <c r="C78" s="19" t="s">
        <v>8</v>
      </c>
      <c r="D78" t="s">
        <v>9</v>
      </c>
      <c r="E78">
        <v>14</v>
      </c>
      <c r="F78" s="4">
        <v>41400</v>
      </c>
      <c r="G78" s="2">
        <v>26910</v>
      </c>
      <c r="H78" s="2">
        <f t="shared" si="2"/>
        <v>579600</v>
      </c>
      <c r="I78" s="2">
        <f t="shared" si="3"/>
        <v>202860</v>
      </c>
      <c r="K78" t="str" cm="1">
        <f t="array" ref="K78:K164">IF(H3:H89&gt;100000, "Higher", "Lower")</f>
        <v>Higher</v>
      </c>
      <c r="P78">
        <v>99944000</v>
      </c>
    </row>
    <row r="79" spans="1:16" x14ac:dyDescent="0.3">
      <c r="A79" s="1">
        <v>45195</v>
      </c>
      <c r="B79" t="s">
        <v>10</v>
      </c>
      <c r="C79" s="19" t="s">
        <v>8</v>
      </c>
      <c r="D79" t="s">
        <v>14</v>
      </c>
      <c r="E79">
        <v>5</v>
      </c>
      <c r="F79" s="4">
        <v>5600</v>
      </c>
      <c r="G79" s="2">
        <v>2800</v>
      </c>
      <c r="H79" s="2">
        <f t="shared" si="2"/>
        <v>28000</v>
      </c>
      <c r="I79" s="2">
        <f t="shared" si="3"/>
        <v>14000</v>
      </c>
      <c r="K79" t="str">
        <v>Lower</v>
      </c>
      <c r="P79">
        <v>515094000</v>
      </c>
    </row>
    <row r="80" spans="1:16" hidden="1" x14ac:dyDescent="0.3">
      <c r="A80" s="1">
        <v>45276</v>
      </c>
      <c r="B80" t="s">
        <v>16</v>
      </c>
      <c r="C80" t="s">
        <v>5</v>
      </c>
      <c r="D80" t="s">
        <v>9</v>
      </c>
      <c r="E80">
        <v>13</v>
      </c>
      <c r="F80" s="4">
        <v>36200</v>
      </c>
      <c r="G80" s="2">
        <v>23530</v>
      </c>
      <c r="H80" s="2">
        <f t="shared" si="2"/>
        <v>470600</v>
      </c>
      <c r="I80" s="2">
        <f t="shared" si="3"/>
        <v>164710</v>
      </c>
      <c r="K80" t="str">
        <v>Lower</v>
      </c>
      <c r="P80">
        <v>443904000</v>
      </c>
    </row>
    <row r="81" spans="1:16" hidden="1" x14ac:dyDescent="0.3">
      <c r="A81" s="1">
        <v>45293</v>
      </c>
      <c r="B81" t="s">
        <v>10</v>
      </c>
      <c r="C81" t="s">
        <v>13</v>
      </c>
      <c r="D81" t="s">
        <v>22</v>
      </c>
      <c r="E81">
        <v>9</v>
      </c>
      <c r="F81" s="4">
        <v>19400</v>
      </c>
      <c r="G81" s="2">
        <v>11640</v>
      </c>
      <c r="H81" s="2">
        <f t="shared" si="2"/>
        <v>174600</v>
      </c>
      <c r="I81" s="2">
        <f t="shared" si="3"/>
        <v>69840</v>
      </c>
      <c r="K81" t="str">
        <v>Lower</v>
      </c>
      <c r="P81">
        <v>800806500</v>
      </c>
    </row>
    <row r="82" spans="1:16" hidden="1" x14ac:dyDescent="0.3">
      <c r="A82" s="1">
        <v>45338</v>
      </c>
      <c r="B82" t="s">
        <v>10</v>
      </c>
      <c r="C82" t="s">
        <v>11</v>
      </c>
      <c r="D82" t="s">
        <v>9</v>
      </c>
      <c r="E82">
        <v>4</v>
      </c>
      <c r="F82" s="4">
        <v>48900</v>
      </c>
      <c r="G82" s="2">
        <v>31785</v>
      </c>
      <c r="H82" s="2">
        <f t="shared" si="2"/>
        <v>195600</v>
      </c>
      <c r="I82" s="2">
        <f t="shared" si="3"/>
        <v>68460</v>
      </c>
      <c r="K82" t="str">
        <v>Lower</v>
      </c>
      <c r="P82">
        <v>4805000</v>
      </c>
    </row>
    <row r="83" spans="1:16" hidden="1" x14ac:dyDescent="0.3">
      <c r="A83" s="1">
        <v>45415</v>
      </c>
      <c r="B83" t="s">
        <v>15</v>
      </c>
      <c r="C83" t="s">
        <v>5</v>
      </c>
      <c r="D83" t="s">
        <v>17</v>
      </c>
      <c r="E83">
        <v>5</v>
      </c>
      <c r="F83" s="4">
        <v>14400</v>
      </c>
      <c r="G83" s="2">
        <v>9360</v>
      </c>
      <c r="H83" s="2">
        <f t="shared" si="2"/>
        <v>72000</v>
      </c>
      <c r="I83" s="2">
        <f t="shared" si="3"/>
        <v>25200</v>
      </c>
      <c r="K83" t="str">
        <v>Lower</v>
      </c>
      <c r="P83">
        <v>958464000</v>
      </c>
    </row>
    <row r="84" spans="1:16" hidden="1" x14ac:dyDescent="0.3">
      <c r="A84" s="1">
        <v>45073</v>
      </c>
      <c r="B84" t="s">
        <v>19</v>
      </c>
      <c r="C84" t="s">
        <v>20</v>
      </c>
      <c r="D84" t="s">
        <v>17</v>
      </c>
      <c r="E84">
        <v>18</v>
      </c>
      <c r="F84" s="4">
        <v>18100</v>
      </c>
      <c r="G84" s="2">
        <v>11765</v>
      </c>
      <c r="H84" s="2">
        <f t="shared" si="2"/>
        <v>325800</v>
      </c>
      <c r="I84" s="2">
        <f t="shared" si="3"/>
        <v>114030</v>
      </c>
      <c r="K84" t="str">
        <v>Lower</v>
      </c>
      <c r="P84">
        <v>3864343000</v>
      </c>
    </row>
    <row r="85" spans="1:16" hidden="1" x14ac:dyDescent="0.3">
      <c r="A85" s="1">
        <v>44931</v>
      </c>
      <c r="B85" t="s">
        <v>19</v>
      </c>
      <c r="C85" t="s">
        <v>5</v>
      </c>
      <c r="D85" t="s">
        <v>12</v>
      </c>
      <c r="E85">
        <v>12</v>
      </c>
      <c r="F85" s="4">
        <v>9600</v>
      </c>
      <c r="G85" s="2">
        <v>5280</v>
      </c>
      <c r="H85" s="2">
        <f t="shared" si="2"/>
        <v>115200</v>
      </c>
      <c r="I85" s="2">
        <f t="shared" si="3"/>
        <v>51840</v>
      </c>
      <c r="K85" t="str">
        <v>Lower</v>
      </c>
      <c r="P85">
        <v>4291623000</v>
      </c>
    </row>
    <row r="86" spans="1:16" hidden="1" x14ac:dyDescent="0.3">
      <c r="A86" s="1">
        <v>45798</v>
      </c>
      <c r="B86" t="s">
        <v>18</v>
      </c>
      <c r="C86" t="s">
        <v>5</v>
      </c>
      <c r="D86" t="s">
        <v>14</v>
      </c>
      <c r="E86">
        <v>20</v>
      </c>
      <c r="F86" s="4">
        <v>4100</v>
      </c>
      <c r="G86" s="2">
        <v>2050</v>
      </c>
      <c r="H86" s="2">
        <f t="shared" si="2"/>
        <v>82000</v>
      </c>
      <c r="I86" s="2">
        <f t="shared" si="3"/>
        <v>41000</v>
      </c>
      <c r="K86" t="str">
        <v>Lower</v>
      </c>
      <c r="P86">
        <v>558018500</v>
      </c>
    </row>
    <row r="87" spans="1:16" hidden="1" x14ac:dyDescent="0.3">
      <c r="A87" s="1">
        <v>45128</v>
      </c>
      <c r="B87" t="s">
        <v>7</v>
      </c>
      <c r="C87" t="s">
        <v>13</v>
      </c>
      <c r="D87" t="s">
        <v>21</v>
      </c>
      <c r="E87">
        <v>17</v>
      </c>
      <c r="F87" s="4">
        <v>31400</v>
      </c>
      <c r="G87" s="2">
        <v>18840</v>
      </c>
      <c r="H87" s="2">
        <f t="shared" si="2"/>
        <v>533800</v>
      </c>
      <c r="I87" s="2">
        <f t="shared" si="3"/>
        <v>213520</v>
      </c>
      <c r="K87" t="str">
        <v>Lower</v>
      </c>
      <c r="P87">
        <v>10125000</v>
      </c>
    </row>
    <row r="88" spans="1:16" hidden="1" x14ac:dyDescent="0.3">
      <c r="A88" s="1">
        <v>45802</v>
      </c>
      <c r="B88" t="s">
        <v>19</v>
      </c>
      <c r="C88" t="s">
        <v>5</v>
      </c>
      <c r="D88" t="s">
        <v>6</v>
      </c>
      <c r="E88">
        <v>15</v>
      </c>
      <c r="F88" s="4">
        <v>65000</v>
      </c>
      <c r="G88" s="2">
        <v>45500</v>
      </c>
      <c r="H88" s="2">
        <f t="shared" si="2"/>
        <v>975000</v>
      </c>
      <c r="I88" s="2">
        <f t="shared" si="3"/>
        <v>292500</v>
      </c>
      <c r="K88" t="str">
        <v>Higher</v>
      </c>
      <c r="P88">
        <v>55000000</v>
      </c>
    </row>
    <row r="89" spans="1:16" x14ac:dyDescent="0.3">
      <c r="A89" s="1">
        <v>45612</v>
      </c>
      <c r="B89" t="s">
        <v>19</v>
      </c>
      <c r="C89" s="19" t="s">
        <v>8</v>
      </c>
      <c r="D89" t="s">
        <v>21</v>
      </c>
      <c r="E89">
        <v>20</v>
      </c>
      <c r="F89" s="4">
        <v>33500</v>
      </c>
      <c r="G89" s="2">
        <v>20100</v>
      </c>
      <c r="H89" s="2">
        <f t="shared" si="2"/>
        <v>670000</v>
      </c>
      <c r="I89" s="2">
        <f t="shared" si="3"/>
        <v>268000</v>
      </c>
      <c r="K89" t="str">
        <v>Lower</v>
      </c>
      <c r="P89">
        <v>15125000</v>
      </c>
    </row>
    <row r="90" spans="1:16" hidden="1" x14ac:dyDescent="0.3">
      <c r="A90" s="1">
        <v>45249</v>
      </c>
      <c r="B90" t="s">
        <v>15</v>
      </c>
      <c r="C90" t="s">
        <v>11</v>
      </c>
      <c r="D90" t="s">
        <v>6</v>
      </c>
      <c r="E90">
        <v>16</v>
      </c>
      <c r="F90" s="4">
        <v>76500</v>
      </c>
      <c r="G90" s="2">
        <v>53550</v>
      </c>
      <c r="H90" s="2">
        <f t="shared" si="2"/>
        <v>1224000</v>
      </c>
      <c r="I90" s="2">
        <f t="shared" si="3"/>
        <v>367200</v>
      </c>
      <c r="K90" t="str">
        <v>Lower</v>
      </c>
      <c r="P90">
        <v>148206500</v>
      </c>
    </row>
    <row r="91" spans="1:16" hidden="1" x14ac:dyDescent="0.3">
      <c r="A91" s="1">
        <v>45669</v>
      </c>
      <c r="B91" t="s">
        <v>19</v>
      </c>
      <c r="C91" t="s">
        <v>13</v>
      </c>
      <c r="D91" t="s">
        <v>6</v>
      </c>
      <c r="E91">
        <v>15</v>
      </c>
      <c r="F91" s="4">
        <v>72400</v>
      </c>
      <c r="G91" s="2">
        <v>50680</v>
      </c>
      <c r="H91" s="2">
        <f t="shared" si="2"/>
        <v>1086000</v>
      </c>
      <c r="I91" s="2">
        <f t="shared" si="3"/>
        <v>325800</v>
      </c>
      <c r="K91" t="str">
        <v>Lower</v>
      </c>
      <c r="P91">
        <v>1297350000</v>
      </c>
    </row>
    <row r="92" spans="1:16" hidden="1" x14ac:dyDescent="0.3">
      <c r="A92" s="1">
        <v>45014</v>
      </c>
      <c r="B92" t="s">
        <v>16</v>
      </c>
      <c r="C92" t="s">
        <v>11</v>
      </c>
      <c r="D92" t="s">
        <v>17</v>
      </c>
      <c r="E92">
        <v>19</v>
      </c>
      <c r="F92" s="4">
        <v>19600</v>
      </c>
      <c r="G92" s="2">
        <v>12740</v>
      </c>
      <c r="H92" s="2">
        <f t="shared" si="2"/>
        <v>372400</v>
      </c>
      <c r="I92" s="2">
        <f t="shared" si="3"/>
        <v>130340</v>
      </c>
      <c r="K92" t="str">
        <v>Lower</v>
      </c>
      <c r="P92">
        <v>9680000</v>
      </c>
    </row>
    <row r="93" spans="1:16" hidden="1" x14ac:dyDescent="0.3">
      <c r="A93" s="1">
        <v>45717</v>
      </c>
      <c r="B93" t="s">
        <v>16</v>
      </c>
      <c r="C93" t="s">
        <v>11</v>
      </c>
      <c r="D93" t="s">
        <v>12</v>
      </c>
      <c r="E93">
        <v>8</v>
      </c>
      <c r="F93" s="4">
        <v>8200</v>
      </c>
      <c r="G93" s="2">
        <v>4510</v>
      </c>
      <c r="H93" s="2">
        <f t="shared" si="2"/>
        <v>65600</v>
      </c>
      <c r="I93" s="2">
        <f t="shared" si="3"/>
        <v>29520</v>
      </c>
      <c r="K93" t="str">
        <v>Higher</v>
      </c>
      <c r="P93">
        <v>215306000</v>
      </c>
    </row>
    <row r="94" spans="1:16" hidden="1" x14ac:dyDescent="0.3">
      <c r="A94" s="1">
        <v>45217</v>
      </c>
      <c r="B94" t="s">
        <v>18</v>
      </c>
      <c r="C94" t="s">
        <v>11</v>
      </c>
      <c r="D94" t="s">
        <v>14</v>
      </c>
      <c r="E94">
        <v>12</v>
      </c>
      <c r="F94" s="4">
        <v>4500</v>
      </c>
      <c r="G94" s="2">
        <v>2250</v>
      </c>
      <c r="H94" s="2">
        <f t="shared" si="2"/>
        <v>54000</v>
      </c>
      <c r="I94" s="2">
        <f t="shared" si="3"/>
        <v>27000</v>
      </c>
      <c r="K94" t="str">
        <v>Lower</v>
      </c>
      <c r="P94">
        <v>187850000</v>
      </c>
    </row>
    <row r="95" spans="1:16" hidden="1" x14ac:dyDescent="0.3">
      <c r="A95" s="1">
        <v>45760</v>
      </c>
      <c r="B95" t="s">
        <v>19</v>
      </c>
      <c r="C95" t="s">
        <v>5</v>
      </c>
      <c r="D95" t="s">
        <v>12</v>
      </c>
      <c r="E95">
        <v>10</v>
      </c>
      <c r="F95" s="4">
        <v>10500</v>
      </c>
      <c r="G95" s="2">
        <v>5775</v>
      </c>
      <c r="H95" s="2">
        <f t="shared" si="2"/>
        <v>105000</v>
      </c>
      <c r="I95" s="2">
        <f t="shared" si="3"/>
        <v>47250</v>
      </c>
      <c r="K95" t="str">
        <v>Higher</v>
      </c>
      <c r="P95">
        <v>550854000</v>
      </c>
    </row>
    <row r="96" spans="1:16" hidden="1" x14ac:dyDescent="0.3">
      <c r="A96" s="1">
        <v>45790</v>
      </c>
      <c r="B96" t="s">
        <v>10</v>
      </c>
      <c r="C96" t="s">
        <v>13</v>
      </c>
      <c r="D96" t="s">
        <v>6</v>
      </c>
      <c r="E96">
        <v>7</v>
      </c>
      <c r="F96" s="4">
        <v>58500</v>
      </c>
      <c r="G96" s="2">
        <v>40950</v>
      </c>
      <c r="H96" s="2">
        <f t="shared" si="2"/>
        <v>409500</v>
      </c>
      <c r="I96" s="2">
        <f t="shared" si="3"/>
        <v>122850</v>
      </c>
      <c r="K96" t="str">
        <v>Lower</v>
      </c>
      <c r="P96">
        <v>714150000</v>
      </c>
    </row>
    <row r="97" spans="1:16" hidden="1" x14ac:dyDescent="0.3">
      <c r="A97" s="1">
        <v>45403</v>
      </c>
      <c r="B97" t="s">
        <v>7</v>
      </c>
      <c r="C97" t="s">
        <v>20</v>
      </c>
      <c r="D97" t="s">
        <v>22</v>
      </c>
      <c r="E97">
        <v>17</v>
      </c>
      <c r="F97" s="4">
        <v>21300</v>
      </c>
      <c r="G97" s="2">
        <v>12780</v>
      </c>
      <c r="H97" s="2">
        <f t="shared" si="2"/>
        <v>362100</v>
      </c>
      <c r="I97" s="2">
        <f t="shared" si="3"/>
        <v>144840</v>
      </c>
      <c r="K97" t="str">
        <v>Higher</v>
      </c>
      <c r="P97">
        <v>72737500</v>
      </c>
    </row>
    <row r="98" spans="1:16" hidden="1" x14ac:dyDescent="0.3">
      <c r="A98" s="1">
        <v>45688</v>
      </c>
      <c r="B98" t="s">
        <v>7</v>
      </c>
      <c r="C98" t="s">
        <v>13</v>
      </c>
      <c r="D98" t="s">
        <v>17</v>
      </c>
      <c r="E98">
        <v>1</v>
      </c>
      <c r="F98" s="4">
        <v>15300</v>
      </c>
      <c r="G98" s="2">
        <v>9945</v>
      </c>
      <c r="H98" s="2">
        <f t="shared" si="2"/>
        <v>15300</v>
      </c>
      <c r="I98" s="2">
        <f t="shared" si="3"/>
        <v>5355</v>
      </c>
      <c r="K98" t="str">
        <v>Lower</v>
      </c>
      <c r="P98">
        <v>150176000</v>
      </c>
    </row>
    <row r="99" spans="1:16" hidden="1" x14ac:dyDescent="0.3">
      <c r="A99" s="1">
        <v>45730</v>
      </c>
      <c r="B99" t="s">
        <v>19</v>
      </c>
      <c r="C99" t="s">
        <v>13</v>
      </c>
      <c r="D99" t="s">
        <v>14</v>
      </c>
      <c r="E99">
        <v>10</v>
      </c>
      <c r="F99" s="4">
        <v>1500</v>
      </c>
      <c r="G99" s="2">
        <v>750</v>
      </c>
      <c r="H99" s="2">
        <f t="shared" si="2"/>
        <v>15000</v>
      </c>
      <c r="I99" s="2">
        <f t="shared" si="3"/>
        <v>7500</v>
      </c>
      <c r="K99" t="str">
        <v>Higher</v>
      </c>
      <c r="P99">
        <v>470400000</v>
      </c>
    </row>
    <row r="100" spans="1:16" hidden="1" x14ac:dyDescent="0.3">
      <c r="A100" s="1">
        <v>45438</v>
      </c>
      <c r="B100" t="s">
        <v>10</v>
      </c>
      <c r="C100" t="s">
        <v>20</v>
      </c>
      <c r="D100" t="s">
        <v>6</v>
      </c>
      <c r="E100">
        <v>20</v>
      </c>
      <c r="F100" s="4">
        <v>85500</v>
      </c>
      <c r="G100" s="2">
        <v>59850</v>
      </c>
      <c r="H100" s="2">
        <f t="shared" si="2"/>
        <v>1710000</v>
      </c>
      <c r="I100" s="2">
        <f t="shared" si="3"/>
        <v>513000</v>
      </c>
      <c r="K100" t="str">
        <v>Higher</v>
      </c>
      <c r="P100">
        <v>61798000</v>
      </c>
    </row>
    <row r="101" spans="1:16" x14ac:dyDescent="0.3">
      <c r="K101" t="str">
        <v>Lower</v>
      </c>
      <c r="P101">
        <v>1114074000</v>
      </c>
    </row>
    <row r="102" spans="1:16" x14ac:dyDescent="0.3">
      <c r="K102" t="str">
        <v>Higher</v>
      </c>
      <c r="P102">
        <v>15680000</v>
      </c>
    </row>
    <row r="103" spans="1:16" x14ac:dyDescent="0.3">
      <c r="K103" t="str">
        <v>Lower</v>
      </c>
      <c r="P103">
        <v>851786000</v>
      </c>
    </row>
    <row r="104" spans="1:16" x14ac:dyDescent="0.3">
      <c r="K104" t="str">
        <v>Higher</v>
      </c>
      <c r="P104">
        <v>225816000</v>
      </c>
    </row>
    <row r="105" spans="1:16" x14ac:dyDescent="0.3">
      <c r="K105" t="str">
        <v>Lower</v>
      </c>
      <c r="P105">
        <v>1554286500</v>
      </c>
    </row>
    <row r="106" spans="1:16" x14ac:dyDescent="0.3">
      <c r="K106" t="str">
        <v>Lower</v>
      </c>
      <c r="P106">
        <v>134784000</v>
      </c>
    </row>
    <row r="107" spans="1:16" x14ac:dyDescent="0.3">
      <c r="K107" t="str">
        <v>Higher</v>
      </c>
      <c r="P107">
        <v>212946500</v>
      </c>
    </row>
    <row r="108" spans="1:16" x14ac:dyDescent="0.3">
      <c r="K108" t="str">
        <v>Higher</v>
      </c>
      <c r="P108">
        <v>50688000</v>
      </c>
    </row>
    <row r="109" spans="1:16" x14ac:dyDescent="0.3">
      <c r="K109" t="str">
        <v>Lower</v>
      </c>
      <c r="P109">
        <v>8405000</v>
      </c>
    </row>
    <row r="110" spans="1:16" x14ac:dyDescent="0.3">
      <c r="K110" t="str">
        <v>Higher</v>
      </c>
      <c r="P110">
        <v>591576000</v>
      </c>
    </row>
    <row r="111" spans="1:16" x14ac:dyDescent="0.3">
      <c r="K111" t="str">
        <v>Lower</v>
      </c>
      <c r="P111">
        <v>2957500000</v>
      </c>
    </row>
    <row r="112" spans="1:16" x14ac:dyDescent="0.3">
      <c r="K112" t="str">
        <v>Higher</v>
      </c>
      <c r="P112">
        <v>673350000</v>
      </c>
    </row>
    <row r="113" spans="11:16" x14ac:dyDescent="0.3">
      <c r="K113" t="str">
        <v>Lower</v>
      </c>
      <c r="P113">
        <v>4096575000</v>
      </c>
    </row>
    <row r="114" spans="11:16" x14ac:dyDescent="0.3">
      <c r="K114" t="str">
        <v>Lower</v>
      </c>
      <c r="P114">
        <v>3669232000</v>
      </c>
    </row>
    <row r="115" spans="11:16" x14ac:dyDescent="0.3">
      <c r="K115" t="str">
        <v>Higher</v>
      </c>
      <c r="P115">
        <v>249704000</v>
      </c>
    </row>
    <row r="116" spans="11:16" x14ac:dyDescent="0.3">
      <c r="K116" t="str">
        <v>Higher</v>
      </c>
      <c r="P116">
        <v>36982000</v>
      </c>
    </row>
    <row r="117" spans="11:16" x14ac:dyDescent="0.3">
      <c r="K117" t="str">
        <v>Lower</v>
      </c>
      <c r="P117">
        <v>10125000</v>
      </c>
    </row>
    <row r="118" spans="11:16" x14ac:dyDescent="0.3">
      <c r="K118" t="str">
        <v>Higher</v>
      </c>
      <c r="P118">
        <v>60637500</v>
      </c>
    </row>
    <row r="119" spans="11:16" x14ac:dyDescent="0.3">
      <c r="K119" t="str">
        <v>Higher</v>
      </c>
      <c r="P119">
        <v>2395575000</v>
      </c>
    </row>
    <row r="120" spans="11:16" x14ac:dyDescent="0.3">
      <c r="K120" t="str">
        <v>Lower</v>
      </c>
      <c r="P120">
        <v>272214000</v>
      </c>
    </row>
    <row r="121" spans="11:16" x14ac:dyDescent="0.3">
      <c r="K121" t="str">
        <v>Higher</v>
      </c>
      <c r="P121">
        <v>152158500</v>
      </c>
    </row>
    <row r="122" spans="11:16" x14ac:dyDescent="0.3">
      <c r="K122" t="str">
        <v>Higher</v>
      </c>
      <c r="P122">
        <v>1125000</v>
      </c>
    </row>
    <row r="123" spans="11:16" x14ac:dyDescent="0.3">
      <c r="K123" t="str">
        <v>Lower</v>
      </c>
      <c r="P123">
        <v>5117175000</v>
      </c>
    </row>
    <row r="124" spans="11:16" x14ac:dyDescent="0.3">
      <c r="K124" t="str">
        <v>Higher</v>
      </c>
    </row>
    <row r="125" spans="11:16" x14ac:dyDescent="0.3">
      <c r="K125" t="str">
        <v>Lower</v>
      </c>
    </row>
    <row r="126" spans="11:16" x14ac:dyDescent="0.3">
      <c r="K126" t="str">
        <v>Higher</v>
      </c>
    </row>
    <row r="127" spans="11:16" x14ac:dyDescent="0.3">
      <c r="K127" t="str">
        <v>Higher</v>
      </c>
    </row>
    <row r="128" spans="11:16" x14ac:dyDescent="0.3">
      <c r="K128" t="str">
        <v>Lower</v>
      </c>
    </row>
    <row r="129" spans="11:11" x14ac:dyDescent="0.3">
      <c r="K129" t="str">
        <v>Lower</v>
      </c>
    </row>
    <row r="130" spans="11:11" x14ac:dyDescent="0.3">
      <c r="K130" t="str">
        <v>Lower</v>
      </c>
    </row>
    <row r="131" spans="11:11" x14ac:dyDescent="0.3">
      <c r="K131" t="str">
        <v>Higher</v>
      </c>
    </row>
    <row r="132" spans="11:11" x14ac:dyDescent="0.3">
      <c r="K132" t="str">
        <v>Higher</v>
      </c>
    </row>
    <row r="133" spans="11:11" x14ac:dyDescent="0.3">
      <c r="K133" t="str">
        <v>Higher</v>
      </c>
    </row>
    <row r="134" spans="11:11" x14ac:dyDescent="0.3">
      <c r="K134" t="str">
        <v>Lower</v>
      </c>
    </row>
    <row r="135" spans="11:11" x14ac:dyDescent="0.3">
      <c r="K135" t="str">
        <v>Higher</v>
      </c>
    </row>
    <row r="136" spans="11:11" x14ac:dyDescent="0.3">
      <c r="K136" t="str">
        <v>Higher</v>
      </c>
    </row>
    <row r="137" spans="11:11" x14ac:dyDescent="0.3">
      <c r="K137" t="str">
        <v>Higher</v>
      </c>
    </row>
    <row r="138" spans="11:11" x14ac:dyDescent="0.3">
      <c r="K138" t="str">
        <v>Higher</v>
      </c>
    </row>
    <row r="139" spans="11:11" x14ac:dyDescent="0.3">
      <c r="K139" t="str">
        <v>Lower</v>
      </c>
    </row>
    <row r="140" spans="11:11" x14ac:dyDescent="0.3">
      <c r="K140" t="str">
        <v>Higher</v>
      </c>
    </row>
    <row r="141" spans="11:11" x14ac:dyDescent="0.3">
      <c r="K141" t="str">
        <v>Lower</v>
      </c>
    </row>
    <row r="142" spans="11:11" x14ac:dyDescent="0.3">
      <c r="K142" t="str">
        <v>Lower</v>
      </c>
    </row>
    <row r="143" spans="11:11" x14ac:dyDescent="0.3">
      <c r="K143" t="str">
        <v>Higher</v>
      </c>
    </row>
    <row r="144" spans="11:11" x14ac:dyDescent="0.3">
      <c r="K144" t="str">
        <v>Lower</v>
      </c>
    </row>
    <row r="145" spans="11:11" x14ac:dyDescent="0.3">
      <c r="K145" t="str">
        <v>Lower</v>
      </c>
    </row>
    <row r="146" spans="11:11" x14ac:dyDescent="0.3">
      <c r="K146" t="str">
        <v>Higher</v>
      </c>
    </row>
    <row r="147" spans="11:11" x14ac:dyDescent="0.3">
      <c r="K147" t="str">
        <v>Higher</v>
      </c>
    </row>
    <row r="148" spans="11:11" x14ac:dyDescent="0.3">
      <c r="K148" t="str">
        <v>Higher</v>
      </c>
    </row>
    <row r="149" spans="11:11" x14ac:dyDescent="0.3">
      <c r="K149" t="str">
        <v>Higher</v>
      </c>
    </row>
    <row r="150" spans="11:11" x14ac:dyDescent="0.3">
      <c r="K150" t="str">
        <v>Higher</v>
      </c>
    </row>
    <row r="151" spans="11:11" x14ac:dyDescent="0.3">
      <c r="K151" t="str">
        <v>Higher</v>
      </c>
    </row>
    <row r="152" spans="11:11" x14ac:dyDescent="0.3">
      <c r="K152" t="str">
        <v>Higher</v>
      </c>
    </row>
    <row r="153" spans="11:11" x14ac:dyDescent="0.3">
      <c r="K153" t="str">
        <v>Higher</v>
      </c>
    </row>
    <row r="154" spans="11:11" x14ac:dyDescent="0.3">
      <c r="K154" t="str">
        <v>Lower</v>
      </c>
    </row>
    <row r="155" spans="11:11" x14ac:dyDescent="0.3">
      <c r="K155" t="str">
        <v>Higher</v>
      </c>
    </row>
    <row r="156" spans="11:11" x14ac:dyDescent="0.3">
      <c r="K156" t="str">
        <v>Higher</v>
      </c>
    </row>
    <row r="157" spans="11:11" x14ac:dyDescent="0.3">
      <c r="K157" t="str">
        <v>Higher</v>
      </c>
    </row>
    <row r="158" spans="11:11" x14ac:dyDescent="0.3">
      <c r="K158" t="str">
        <v>Lower</v>
      </c>
    </row>
    <row r="159" spans="11:11" x14ac:dyDescent="0.3">
      <c r="K159" t="str">
        <v>Higher</v>
      </c>
    </row>
    <row r="160" spans="11:11" x14ac:dyDescent="0.3">
      <c r="K160" t="str">
        <v>Higher</v>
      </c>
    </row>
    <row r="161" spans="11:11" x14ac:dyDescent="0.3">
      <c r="K161" t="str">
        <v>Lower</v>
      </c>
    </row>
    <row r="162" spans="11:11" x14ac:dyDescent="0.3">
      <c r="K162" t="str">
        <v>Higher</v>
      </c>
    </row>
    <row r="163" spans="11:11" x14ac:dyDescent="0.3">
      <c r="K163" t="str">
        <v>Higher</v>
      </c>
    </row>
    <row r="164" spans="11:11" x14ac:dyDescent="0.3">
      <c r="K164" t="str">
        <v>Higher</v>
      </c>
    </row>
  </sheetData>
  <conditionalFormatting sqref="H1:H89">
    <cfRule type="cellIs" dxfId="1" priority="2" operator="greaterThan">
      <formula>100000</formula>
    </cfRule>
  </conditionalFormatting>
  <conditionalFormatting sqref="H3:H89">
    <cfRule type="cellIs" dxfId="0" priority="1" operator="lessThan">
      <formula>100000</formula>
    </cfRule>
  </conditionalFormatting>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cleaned</vt:lpstr>
      <vt:lpstr>neat</vt:lpstr>
      <vt:lpstr>Sheet1</vt:lpstr>
      <vt:lpstr>Pivot tabels</vt:lpstr>
      <vt:lpstr>Dashboard</vt:lpstr>
      <vt:lpstr>cleaned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Prabu R</dc:creator>
  <cp:lastModifiedBy>Prabu R</cp:lastModifiedBy>
  <dcterms:created xsi:type="dcterms:W3CDTF">2026-02-04T04:29:21Z</dcterms:created>
  <dcterms:modified xsi:type="dcterms:W3CDTF">2026-06-30T08:05:15Z</dcterms:modified>
</cp:coreProperties>
</file>